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520" firstSheet="3" activeTab="1"/>
  </bookViews>
  <sheets>
    <sheet name="Biinding" sheetId="3" r:id="rId1"/>
    <sheet name="Wing Bank App" sheetId="4" r:id="rId2"/>
    <sheet name="Config Data" sheetId="5" r:id="rId3"/>
  </sheets>
  <definedNames>
    <definedName name="_xlnm._FilterDatabase" localSheetId="0" hidden="1">Biinding!$A$1:$V$74</definedName>
    <definedName name="_xlnm._FilterDatabase" localSheetId="1" hidden="1">'Wing Bank App'!$A$4:$AF$77</definedName>
    <definedName name="JR_PAGE_ANCHOR_0_1">#REF!</definedName>
    <definedName name="Statu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<sst xmlns="http://schemas.openxmlformats.org/spreadsheetml/2006/main" count="2999" uniqueCount="586">
  <si>
    <t>No</t>
  </si>
  <si>
    <t>TestID</t>
  </si>
  <si>
    <t>Channels</t>
  </si>
  <si>
    <t>Service_Name</t>
  </si>
  <si>
    <t>Scenarios</t>
  </si>
  <si>
    <t>Testcase_Type</t>
  </si>
  <si>
    <t>Test_Case_Description</t>
  </si>
  <si>
    <t>Sender_Account_Type</t>
  </si>
  <si>
    <t>Sender_Account</t>
  </si>
  <si>
    <t>Sender CoS/Account-Classs</t>
  </si>
  <si>
    <t>Account_Currency</t>
  </si>
  <si>
    <t>Amount</t>
  </si>
  <si>
    <t xml:space="preserve">Fee </t>
  </si>
  <si>
    <t>Commission</t>
  </si>
  <si>
    <t>Receiver Amount</t>
  </si>
  <si>
    <t>Reciever_Account_Type</t>
  </si>
  <si>
    <t>Receiver_Account</t>
  </si>
  <si>
    <t>Receiver_Class_Of_Service</t>
  </si>
  <si>
    <t>Reciever_Currency</t>
  </si>
  <si>
    <t>TID</t>
  </si>
  <si>
    <t xml:space="preserve">Transaction Date </t>
  </si>
  <si>
    <t>Status</t>
  </si>
  <si>
    <t>TCRT-0001</t>
  </si>
  <si>
    <t>Wing to Wing</t>
  </si>
  <si>
    <t>Perform from PSP KHR to FC USD</t>
  </si>
  <si>
    <t>Normal</t>
  </si>
  <si>
    <t>PSP</t>
  </si>
  <si>
    <t>Customer - Current Account Personal - Standard</t>
  </si>
  <si>
    <t>KHR</t>
  </si>
  <si>
    <t>0</t>
  </si>
  <si>
    <t>FC</t>
  </si>
  <si>
    <t>High Yield Saving - Standard</t>
  </si>
  <si>
    <t>USD</t>
  </si>
  <si>
    <t>TCRT-0002</t>
  </si>
  <si>
    <t>Perform from FC KHR to PSP USD</t>
  </si>
  <si>
    <t>TCRT-0003</t>
  </si>
  <si>
    <t>Perform from PSP USD to FC KHR</t>
  </si>
  <si>
    <t>TCRT-0004</t>
  </si>
  <si>
    <t>Perform from FC USD to PSP KHR</t>
  </si>
  <si>
    <t>TCRT-0005</t>
  </si>
  <si>
    <t>Perform from PSP KHR to PSP USD</t>
  </si>
  <si>
    <t>TCRT-0006</t>
  </si>
  <si>
    <t>Perform from FC KHR to FC USD</t>
  </si>
  <si>
    <t>TCRT-0007</t>
  </si>
  <si>
    <t>Perform from PSP USD to PSP KHR</t>
  </si>
  <si>
    <t>TCRT-0008</t>
  </si>
  <si>
    <t>Perform from FC USD to FC KHR</t>
  </si>
  <si>
    <t>TCRT-0009</t>
  </si>
  <si>
    <t>Perform from PSP USD to FC USD</t>
  </si>
  <si>
    <t>TCRT-0010</t>
  </si>
  <si>
    <t>Perform from PSP KHR to FC KHR</t>
  </si>
  <si>
    <t>TCRT-0011</t>
  </si>
  <si>
    <t>Perform from FC USD to PSP USD</t>
  </si>
  <si>
    <t>TCRT-0012</t>
  </si>
  <si>
    <t>Perform from FC KHR to PSP KHR</t>
  </si>
  <si>
    <t>TCRT-0013</t>
  </si>
  <si>
    <t>Wing Wei Luy</t>
  </si>
  <si>
    <t>Perform from PSP USD to Phone Number</t>
  </si>
  <si>
    <t>- $0.75</t>
  </si>
  <si>
    <t>Phone Number</t>
  </si>
  <si>
    <t>N/A</t>
  </si>
  <si>
    <t>TCRT-0014</t>
  </si>
  <si>
    <t>Perfrom from FC KHR to Phone Number</t>
  </si>
  <si>
    <t>- ៛3,000</t>
  </si>
  <si>
    <t>TCRT-0015</t>
  </si>
  <si>
    <t>Perfrom from FC USD to Phone Number</t>
  </si>
  <si>
    <t>TCRT-0016</t>
  </si>
  <si>
    <t>Perfrom from PSP KHR to Phone Number</t>
  </si>
  <si>
    <t>TCRT-0017</t>
  </si>
  <si>
    <t>Code to Wing</t>
  </si>
  <si>
    <t>Perform code to non-Wing to FC KHR that performed wwl from PSP USD  (cross currency)</t>
  </si>
  <si>
    <t>TCRT-0018</t>
  </si>
  <si>
    <t>Perform code to non-Wing to PSP USD that performed wwl from FC KHR (cross currency)</t>
  </si>
  <si>
    <t>Perform code to wing to PSP USD that performed wwl from FC KHR (cross currency)</t>
  </si>
  <si>
    <t>TCRT-0019</t>
  </si>
  <si>
    <t>Perform code to non-Wing to PSP KHR that performed wwl from FC USD  (cross currency)</t>
  </si>
  <si>
    <t>Perform code to wing to PSP KHR that performed wwl from FC USD  (cross currency)</t>
  </si>
  <si>
    <t>TCRT-0020</t>
  </si>
  <si>
    <t>Perform code to non-Wing to FC USD that performed wwl from PSP KHR  (cross currency)</t>
  </si>
  <si>
    <t>Perform code to wing to FC USD that performed wwl from PSP KHR  (cross currency)</t>
  </si>
  <si>
    <t>TCRT-0021</t>
  </si>
  <si>
    <t>PTU Pinless</t>
  </si>
  <si>
    <t>Peform from PSP USD to Smart</t>
  </si>
  <si>
    <t>Smart</t>
  </si>
  <si>
    <t>TCRT-0022</t>
  </si>
  <si>
    <t>Peform from FC KHR to Smart (cross currency)</t>
  </si>
  <si>
    <t>TCRT-0023</t>
  </si>
  <si>
    <t>Peform from FC USD to Cellcard</t>
  </si>
  <si>
    <t>Cellcard</t>
  </si>
  <si>
    <t>TCRT-0024</t>
  </si>
  <si>
    <t>PTU PIN</t>
  </si>
  <si>
    <t>Perform from PSP KHR to Smart (cross currency)</t>
  </si>
  <si>
    <t>Operator</t>
  </si>
  <si>
    <t>TCRT-0025</t>
  </si>
  <si>
    <t>Perform from FC USD to Cellcard</t>
  </si>
  <si>
    <t>TCRT-0026</t>
  </si>
  <si>
    <t>KHQR(WingBank to customer other bank)</t>
  </si>
  <si>
    <t>Perform  from PSP KHR to customer of other bank USD (scan khqr) (cross currency)</t>
  </si>
  <si>
    <t>Customer QR OtherBank</t>
  </si>
  <si>
    <t>ABA Bank Customer</t>
  </si>
  <si>
    <t>TCRT-0027</t>
  </si>
  <si>
    <t>Perform  from FC USD to customer of other bank KHR (scan khqr) (cross currency)</t>
  </si>
  <si>
    <t>TCRT-0028</t>
  </si>
  <si>
    <t>QR Pay</t>
  </si>
  <si>
    <t>Perform from PSP KHR to merchant PSP USD(no point) via scan KHQR of wingPay (cross currency)</t>
  </si>
  <si>
    <t>Merchant App PSP</t>
  </si>
  <si>
    <t>Retail - Bill Pay Corp I (Fee Free)</t>
  </si>
  <si>
    <t>TCRT-0029</t>
  </si>
  <si>
    <t>Perform from PSP USD to merchant corp1 FC KHR(have point) via scan KHQR of wingPay (cross currency)</t>
  </si>
  <si>
    <t>3000</t>
  </si>
  <si>
    <t>Merchant App FC</t>
  </si>
  <si>
    <t>Loyalty - Corp 1 (MDR: 0% + Bronze: 2.5%)</t>
  </si>
  <si>
    <t>TCRT-0030</t>
  </si>
  <si>
    <t>Perform from PSP KHR to merchant corp1 FC USD(no point) via scan KHQR of wingpay (cross currency)</t>
  </si>
  <si>
    <t>Loyalty - (MDR: 0% + Standard_low: 0%)</t>
  </si>
  <si>
    <t>TCRT-0031</t>
  </si>
  <si>
    <t>Perform from FC KHR to merchant PSP USD(no point) via scan KHQR of wingpay (cross currency)</t>
  </si>
  <si>
    <t>TCRT-0032</t>
  </si>
  <si>
    <t>Perform from FC USD to merchant corp1 FC KHR(have point) via scan KHQR of wingpay (cross currency)</t>
  </si>
  <si>
    <t>TCRT-0033</t>
  </si>
  <si>
    <t>Perform from FC USD to merchant PSP KHR (no point) via scan KHQR of wingpay (cross currency)</t>
  </si>
  <si>
    <t>TCRT-0034</t>
  </si>
  <si>
    <t>KHQR(WingBank to merchant other bank)</t>
  </si>
  <si>
    <t>Perform from FC KHR to merchant of other bank/ABA USD(QR that generate and download from customer ABA app .cross currency)</t>
  </si>
  <si>
    <t>Perform from FC KHR to merchant of other bank/ABA USD(QR that generate and download from customer ABA app (cross currency)</t>
  </si>
  <si>
    <t>Merchant QR Other Bank</t>
  </si>
  <si>
    <t>Savings Account</t>
  </si>
  <si>
    <t>TCRT-0035</t>
  </si>
  <si>
    <t>Perform from PSP USD to merchant of other bank/ABA KHR (QR that generate and download from customer ABA app .cross currency)</t>
  </si>
  <si>
    <t>Perform from PSP USD to merchant of other bank/ABA KHR (QR that generate and download from customer ABA app (cross currency)</t>
  </si>
  <si>
    <t>TCRT-0036</t>
  </si>
  <si>
    <t>Billpay to EDC</t>
  </si>
  <si>
    <t>Peform from PSP USD to EDC KHR (7500) (cross currency)</t>
  </si>
  <si>
    <t>EDC</t>
  </si>
  <si>
    <t>TCRT-0037</t>
  </si>
  <si>
    <t>Perform from FC USD to EDC KHR (7500) (cross currency)</t>
  </si>
  <si>
    <t>TCRT-0038</t>
  </si>
  <si>
    <t>Billpay to Other Bank (ABA)</t>
  </si>
  <si>
    <t>Peform from PSP USD to customer of other bank USD</t>
  </si>
  <si>
    <t>ABA Bank</t>
  </si>
  <si>
    <t>Saving Account</t>
  </si>
  <si>
    <t>TCRT-0039</t>
  </si>
  <si>
    <t>Perform from FC KHR to customer of other bank USD (cross currency)</t>
  </si>
  <si>
    <t>TCRT-0040</t>
  </si>
  <si>
    <t>Billpay to Angkor Hospital</t>
  </si>
  <si>
    <t>Perform from PSP KHR to Angkor hospital for Children KHR</t>
  </si>
  <si>
    <t>Peform from PSP USD to Bakong wallet KHR (cross currency)</t>
  </si>
  <si>
    <t>Angkor Hospital</t>
  </si>
  <si>
    <t>TCRT-0041</t>
  </si>
  <si>
    <t>Perform from FC USD to Angkor hospital for Children KHR</t>
  </si>
  <si>
    <t>TCRT-0042</t>
  </si>
  <si>
    <t>Billpay to Bakong Wallet</t>
  </si>
  <si>
    <t>Perform Transaction Billpay to Bakong Wallet</t>
  </si>
  <si>
    <t>From FC USD - Bakong Wallet KHR</t>
  </si>
  <si>
    <t>Bakong wallet</t>
  </si>
  <si>
    <t>TCRT-0043</t>
  </si>
  <si>
    <t>From PSP KHR- Bakong Wallet USD</t>
  </si>
  <si>
    <t>TCRT-0044</t>
  </si>
  <si>
    <t>Billpay to PPSHV</t>
  </si>
  <si>
    <t>Perform Transaction Billpay to PPSHV</t>
  </si>
  <si>
    <t>Perform Transaction Billpay to PPSHV from FC USD</t>
  </si>
  <si>
    <t>PPSHV</t>
  </si>
  <si>
    <t>Penh</t>
  </si>
  <si>
    <t>TCRT-0045</t>
  </si>
  <si>
    <t>Perform Transaction Billpay to PPSHV from PSP USD</t>
  </si>
  <si>
    <t>TCRT-0046</t>
  </si>
  <si>
    <t>Cash Out(Scan)</t>
  </si>
  <si>
    <t>Perform from PSP USD wingbank app to scan KhQR of wcx-POS KHR (no cross currency, amount input based on the sender account currency, and receiver account currency based on sender account currency)</t>
  </si>
  <si>
    <t>Free</t>
  </si>
  <si>
    <t>0.15</t>
  </si>
  <si>
    <t>WCX PSP (Agent)</t>
  </si>
  <si>
    <t>Cash XPress - Standard</t>
  </si>
  <si>
    <t>TCRT-0047</t>
  </si>
  <si>
    <t>Perform from FC KHR wingbank app to scan KHQR of wcx-POS USD (no cross currency, amount input based on the sender account currency, and receiver account currency based on sender account currency)</t>
  </si>
  <si>
    <t>600</t>
  </si>
  <si>
    <t>TCRT-0048</t>
  </si>
  <si>
    <t>Own Account Transfer</t>
  </si>
  <si>
    <t>Perform from FC USD to PSP KHR (cross currency)</t>
  </si>
  <si>
    <t>TCRT-0049</t>
  </si>
  <si>
    <t>Perform from PSP KHR to FC USD (cross currency)</t>
  </si>
  <si>
    <t>TCRT-0050</t>
  </si>
  <si>
    <t>Wing To World</t>
  </si>
  <si>
    <t>International Remittance - Cash Pickup sacom VND</t>
  </si>
  <si>
    <t>Perform International Remittance - Cash Pickup from FC USD</t>
  </si>
  <si>
    <t>$4.00</t>
  </si>
  <si>
    <t>VND</t>
  </si>
  <si>
    <t>TCRT-0051</t>
  </si>
  <si>
    <t>Perform International Remittance - Cash Pickup from PSP USD</t>
  </si>
  <si>
    <t>TCRT-0052</t>
  </si>
  <si>
    <t>Transfer to Local Bank via Bakong</t>
  </si>
  <si>
    <t>Perform Transaction Transfer to Local Bank via Bakong</t>
  </si>
  <si>
    <t xml:space="preserve"> Transfer to Local Bank via Bakong  From FC USD-Other Bank KHR</t>
  </si>
  <si>
    <t>- ៛2,600</t>
  </si>
  <si>
    <t>ABA Saving Account</t>
  </si>
  <si>
    <t>TCRT-0053</t>
  </si>
  <si>
    <t xml:space="preserve"> Transfer to Local Bank via Bakong From FC KHR-Other Bank USD</t>
  </si>
  <si>
    <t>- $0.65</t>
  </si>
  <si>
    <t>TCRT-0054</t>
  </si>
  <si>
    <t xml:space="preserve"> Transfer to Local Bank via Bakong From PSP KHR-Other Bank USD</t>
  </si>
  <si>
    <t>TCRT-0055</t>
  </si>
  <si>
    <t xml:space="preserve"> Transfer to Local Bank via Bakong From PSP USD-Other Bank KHR</t>
  </si>
  <si>
    <t>TCRT-0056</t>
  </si>
  <si>
    <t>Wing To Other Banks NCS</t>
  </si>
  <si>
    <t>Perform Transaction Wing To Other Banks NCS</t>
  </si>
  <si>
    <t>From FC USD - Other Bank</t>
  </si>
  <si>
    <t>Advanced Bank of Asia Ltd</t>
  </si>
  <si>
    <t>Mony Rorn</t>
  </si>
  <si>
    <t>TCRT-0057</t>
  </si>
  <si>
    <t>From FC KHR- Other Bank</t>
  </si>
  <si>
    <t>TCRT-0058</t>
  </si>
  <si>
    <t>Fund Transfer - Bakong Wallet</t>
  </si>
  <si>
    <t>Perform Transaction Fund Transfer - Bakong Wallet</t>
  </si>
  <si>
    <t>Bakong KHR</t>
  </si>
  <si>
    <t>TCRT-0059</t>
  </si>
  <si>
    <t>From FC KHR- Bakong Wallet KHR</t>
  </si>
  <si>
    <t>- ៛1,200</t>
  </si>
  <si>
    <t>TCRT-0060</t>
  </si>
  <si>
    <t>From PSP USD - Bakong Wallet USD</t>
  </si>
  <si>
    <t>- $0.30</t>
  </si>
  <si>
    <t>Bakong USD</t>
  </si>
  <si>
    <t>TCRT-0061</t>
  </si>
  <si>
    <t>From PSP KHR - Bakong Wallet USD</t>
  </si>
  <si>
    <t>TCRT-0062</t>
  </si>
  <si>
    <t>Transfer Direct To Other Bank (ABA)</t>
  </si>
  <si>
    <t>Perform Transaction Billpay Other Bank ABA</t>
  </si>
  <si>
    <t>From FC USD - ABA KHR</t>
  </si>
  <si>
    <t>៛2,600</t>
  </si>
  <si>
    <t>ABA</t>
  </si>
  <si>
    <t>TCRT-0063</t>
  </si>
  <si>
    <t>From FC KHR- ABA KHR</t>
  </si>
  <si>
    <t>TCRT-0064</t>
  </si>
  <si>
    <t>From PSP USD -ABA USD</t>
  </si>
  <si>
    <t>$0.65</t>
  </si>
  <si>
    <t>TCRT-0065</t>
  </si>
  <si>
    <t>From PSP KHR - ABA USD</t>
  </si>
  <si>
    <t>TCRT-0066</t>
  </si>
  <si>
    <t>Cashout - Input Manual</t>
  </si>
  <si>
    <t xml:space="preserve">Perform Transaction QR Payment - Input Manual </t>
  </si>
  <si>
    <t>Cashout Input Manual From FC USD - With Merchant ID USD</t>
  </si>
  <si>
    <t>0.03</t>
  </si>
  <si>
    <t>High Yield Saving - Business Gold</t>
  </si>
  <si>
    <t>TCRT-0067</t>
  </si>
  <si>
    <t>Cashout Input Manual From FC KHR - With Merchant ID KHR</t>
  </si>
  <si>
    <t>0.04</t>
  </si>
  <si>
    <t>TCRT-0068</t>
  </si>
  <si>
    <t>Cashout Input Manual From PSP USD - With Merchant ID KHR</t>
  </si>
  <si>
    <t>0.22</t>
  </si>
  <si>
    <t>TCRT-0069</t>
  </si>
  <si>
    <t>Cashout Input Manual From PSP KHR - With Merchant ID USD</t>
  </si>
  <si>
    <t>TCRT-0070</t>
  </si>
  <si>
    <t>QR Payment KHQR Bakong Wallet</t>
  </si>
  <si>
    <t>Perform Transaction QR Payment KHQR Bakong Wallet</t>
  </si>
  <si>
    <t>From FC USD - Bakong Wallet KHQR Static KHR</t>
  </si>
  <si>
    <t>Bakong Wallet (KHR)</t>
  </si>
  <si>
    <t>TCRT-0071</t>
  </si>
  <si>
    <t>From FC KHR - Bakong Wallet KHQR Static KHR</t>
  </si>
  <si>
    <t>TCRT-0072</t>
  </si>
  <si>
    <t>From PSP USD - Bakong Wallet KHQR Static KHR</t>
  </si>
  <si>
    <t>TCRT-0073</t>
  </si>
  <si>
    <t>From PSP KHR - Bakong Wallet KHQR Static KHR</t>
  </si>
  <si>
    <t>Big Rate</t>
  </si>
  <si>
    <t>Small Rate</t>
  </si>
  <si>
    <t>Rate Date</t>
  </si>
  <si>
    <t>Exchange Rate</t>
  </si>
  <si>
    <t>Rate Type</t>
  </si>
  <si>
    <t>Expected Result</t>
  </si>
  <si>
    <t>Actual Result</t>
  </si>
  <si>
    <t>Testing Type</t>
  </si>
  <si>
    <t>Tester</t>
  </si>
  <si>
    <t>Hyper Link Reference</t>
  </si>
  <si>
    <t>Remark</t>
  </si>
  <si>
    <t>Finance Staus</t>
  </si>
  <si>
    <t>Finance Comment</t>
  </si>
  <si>
    <t>Wing Bank App</t>
  </si>
  <si>
    <t>29.61</t>
  </si>
  <si>
    <t>4053</t>
  </si>
  <si>
    <t>EYB558038</t>
  </si>
  <si>
    <t>27-08-2026 | 01:49:18 AM</t>
  </si>
  <si>
    <t>1-Transaction will be success
2-Amount deducted from the payer to the payee is correct
3-Exchange rate is correct</t>
  </si>
  <si>
    <t>As Expected</t>
  </si>
  <si>
    <t>Passed</t>
  </si>
  <si>
    <t>Automation</t>
  </si>
  <si>
    <t/>
  </si>
  <si>
    <t>29.60</t>
  </si>
  <si>
    <t>0002345262398049</t>
  </si>
  <si>
    <t>27-08-2026 | 01:49:51 AM</t>
  </si>
  <si>
    <t>121350</t>
  </si>
  <si>
    <t>4045</t>
  </si>
  <si>
    <t>EYB558066</t>
  </si>
  <si>
    <t>27-08-2026 | 01:50:25 AM</t>
  </si>
  <si>
    <t>0002345262398163</t>
  </si>
  <si>
    <t>27-08-2026 | 01:50:52 AM</t>
  </si>
  <si>
    <t>EYB558094</t>
  </si>
  <si>
    <t>27-08-2026 | 01:51:20 AM</t>
  </si>
  <si>
    <t>0002345262398263</t>
  </si>
  <si>
    <t>27-08-2026 | 01:51:50 AM</t>
  </si>
  <si>
    <t>EYB558119</t>
  </si>
  <si>
    <t>27-08-2026 | 01:52:18 AM</t>
  </si>
  <si>
    <t>0002345262398360</t>
  </si>
  <si>
    <t>27-08-2026 | 01:52:45 AM</t>
  </si>
  <si>
    <t>1.00</t>
  </si>
  <si>
    <t>EYB558145</t>
  </si>
  <si>
    <t>27-08-2026 | 01:53:19 AM</t>
  </si>
  <si>
    <t>4000</t>
  </si>
  <si>
    <t>EYB558157</t>
  </si>
  <si>
    <t>27-08-2026 | 01:53:46 AM</t>
  </si>
  <si>
    <t>0002345262398529</t>
  </si>
  <si>
    <t>27-08-2026 | 01:54:13 AM</t>
  </si>
  <si>
    <t>0002345262398579</t>
  </si>
  <si>
    <t>27-08-2026 | 01:54:40 AM</t>
  </si>
  <si>
    <t>0.75</t>
  </si>
  <si>
    <t>30.00</t>
  </si>
  <si>
    <t>AYZ539464</t>
  </si>
  <si>
    <t>27-08-2026 | 01:55:09 AM</t>
  </si>
  <si>
    <t>70438333</t>
  </si>
  <si>
    <t>120000</t>
  </si>
  <si>
    <t>0002343262390011</t>
  </si>
  <si>
    <t>27-08-2026 | 01:55:38 AM</t>
  </si>
  <si>
    <t>35399830</t>
  </si>
  <si>
    <t>0002343262390012</t>
  </si>
  <si>
    <t>27-08-2026 | 01:56:05 AM</t>
  </si>
  <si>
    <t>14405939</t>
  </si>
  <si>
    <t>AYZ539470</t>
  </si>
  <si>
    <t>27-08-2026 | 01:56:39 AM</t>
  </si>
  <si>
    <t>58243802</t>
  </si>
  <si>
    <t>GYQ687350</t>
  </si>
  <si>
    <t>27-08-2026 | 01:57:10 AM</t>
  </si>
  <si>
    <t>GYQ687352</t>
  </si>
  <si>
    <t>27-08-2026 | 01:57:39 AM</t>
  </si>
  <si>
    <t>GYQ687353</t>
  </si>
  <si>
    <t>27-08-2026 | 01:58:10 AM</t>
  </si>
  <si>
    <t>GYQ687354</t>
  </si>
  <si>
    <t>27-08-2026 | 01:58:39 AM</t>
  </si>
  <si>
    <t>HTS558722</t>
  </si>
  <si>
    <t>27-08-2026 | 01:59:05 AM</t>
  </si>
  <si>
    <t>0002381262390739</t>
  </si>
  <si>
    <t>27-08-2026 | 01:59:27 AM</t>
  </si>
  <si>
    <t>0002381262390742</t>
  </si>
  <si>
    <t>27-08-2026 | 01:59:48 AM</t>
  </si>
  <si>
    <t>HTS558746</t>
  </si>
  <si>
    <t>27-08-2026 | 02:00:08 AM</t>
  </si>
  <si>
    <t>0002382262390018</t>
  </si>
  <si>
    <t>27-08-2026 | 02:00:27 AM</t>
  </si>
  <si>
    <t>121590</t>
  </si>
  <si>
    <t>QBF957327</t>
  </si>
  <si>
    <t>27-08-2026 | 02:00:55 AM</t>
  </si>
  <si>
    <t>29.67</t>
  </si>
  <si>
    <t>0002347262396109</t>
  </si>
  <si>
    <t>27-08-2026 | 02:01:24 AM</t>
  </si>
  <si>
    <t>JBT758234</t>
  </si>
  <si>
    <t>27-08-2026 | 02:01:50 AM</t>
  </si>
  <si>
    <t>29.66</t>
  </si>
  <si>
    <t>JBT758273</t>
  </si>
  <si>
    <t>27-08-2026 | 02:02:21 AM</t>
  </si>
  <si>
    <t>JBT758311</t>
  </si>
  <si>
    <t>27-08-2026 | 02:02:47 AM</t>
  </si>
  <si>
    <t>0002448262390008</t>
  </si>
  <si>
    <t>27-08-2026 | 02:03:15 AM</t>
  </si>
  <si>
    <t>0002476262390394</t>
  </si>
  <si>
    <t>27-08-2026 | 02:03:42 AM</t>
  </si>
  <si>
    <t>0002448262390010</t>
  </si>
  <si>
    <t>27-08-2026 | 02:04:10 AM</t>
  </si>
  <si>
    <t>0002454262396377</t>
  </si>
  <si>
    <t>27-08-2026 | 02:04:38 AM</t>
  </si>
  <si>
    <t>JBT758459</t>
  </si>
  <si>
    <t>27-08-2026 | 02:05:04 AM</t>
  </si>
  <si>
    <t>0.24</t>
  </si>
  <si>
    <t>UHQ990853</t>
  </si>
  <si>
    <t>27-08-2026 | 02:05:00 AM</t>
  </si>
  <si>
    <t>0.25</t>
  </si>
  <si>
    <t>0002353262390041</t>
  </si>
  <si>
    <t>27-08-2026 | 02:06:00 AM</t>
  </si>
  <si>
    <t>UHQ990859</t>
  </si>
  <si>
    <t>0002353262390044</t>
  </si>
  <si>
    <t>27-08-2026 | 02:07:00 AM</t>
  </si>
  <si>
    <t>UHQ990866</t>
  </si>
  <si>
    <t>27-08-2026 | 02:08:00 AM</t>
  </si>
  <si>
    <t>0002353262390047</t>
  </si>
  <si>
    <t>UHQ990870</t>
  </si>
  <si>
    <t>0002353262390050</t>
  </si>
  <si>
    <t>27-08-2026 | 02:09:00 AM</t>
  </si>
  <si>
    <t>2CI-8210</t>
  </si>
  <si>
    <t>0002353262390051</t>
  </si>
  <si>
    <t>27-08-2026 | 02:21:00 AM</t>
  </si>
  <si>
    <t>1) Transaction should be successed
2) Amount should be deducted from sender account</t>
  </si>
  <si>
    <t>UHQ990875</t>
  </si>
  <si>
    <t>5.00</t>
  </si>
  <si>
    <t>00751774</t>
  </si>
  <si>
    <t>DMA644790</t>
  </si>
  <si>
    <t>27-08-2026 | 02:22:25 AM</t>
  </si>
  <si>
    <t>20000</t>
  </si>
  <si>
    <t>00751770</t>
  </si>
  <si>
    <t>0002331262390005</t>
  </si>
  <si>
    <t>27-08-2026 | 02:23:13 AM</t>
  </si>
  <si>
    <t>0002397262390992</t>
  </si>
  <si>
    <t>27-08-2026 | 02:23:35 AM</t>
  </si>
  <si>
    <t>EYB558883</t>
  </si>
  <si>
    <t>27-08-2026 | 02:23:57 AM</t>
  </si>
  <si>
    <t>Failed</t>
  </si>
  <si>
    <t>2600</t>
  </si>
  <si>
    <t>0002340262390015</t>
  </si>
  <si>
    <t>27-08-2026 | 02:27:32 AM</t>
  </si>
  <si>
    <t>0.65</t>
  </si>
  <si>
    <t>0002340262390016</t>
  </si>
  <si>
    <t>27-08-2026 | 02:28:12 AM</t>
  </si>
  <si>
    <t>QBF959118</t>
  </si>
  <si>
    <t>27-08-2026 | 02:28:50 AM</t>
  </si>
  <si>
    <t>QBF959273</t>
  </si>
  <si>
    <t>27-08-2026 | 02:31:33 AM</t>
  </si>
  <si>
    <t>1-Transaction will be success
2-Amount deducted from the payer to the payee is correct</t>
  </si>
  <si>
    <t>2.00</t>
  </si>
  <si>
    <t>0002348262390005</t>
  </si>
  <si>
    <t>27-08-2026 | 02:32:11 AM</t>
  </si>
  <si>
    <t>8000</t>
  </si>
  <si>
    <t>0002348262390006</t>
  </si>
  <si>
    <t>27-08-2026 | 02:32:45 AM</t>
  </si>
  <si>
    <t>0002340262390020</t>
  </si>
  <si>
    <t>27-08-2026 | 02:33:17 AM</t>
  </si>
  <si>
    <t>1200</t>
  </si>
  <si>
    <t>0002340262390021</t>
  </si>
  <si>
    <t>27-08-2026 | 02:33:48 AM</t>
  </si>
  <si>
    <t>0.30</t>
  </si>
  <si>
    <t>QBF959454</t>
  </si>
  <si>
    <t>27-08-2026 | 02:34:20 AM</t>
  </si>
  <si>
    <t>QBF959477</t>
  </si>
  <si>
    <t>27-08-2026 | 02:34:55 AM</t>
  </si>
  <si>
    <t>0002394262390019</t>
  </si>
  <si>
    <t>27-08-2026 | 02:36:59 AM</t>
  </si>
  <si>
    <t>0002394262390020</t>
  </si>
  <si>
    <t>27-08-2026 | 02:37:41 AM</t>
  </si>
  <si>
    <t>QBF959719</t>
  </si>
  <si>
    <t>27-08-2026 | 02:38:33 AM</t>
  </si>
  <si>
    <t>QBF959768</t>
  </si>
  <si>
    <t>27-08-2026 | 02:39:14 AM</t>
  </si>
  <si>
    <t>0002476262390519</t>
  </si>
  <si>
    <t>27-08-2026 | 02:39:43 AM</t>
  </si>
  <si>
    <t>0002476262390520</t>
  </si>
  <si>
    <t>27-08-2026 | 02:40:10 AM</t>
  </si>
  <si>
    <t>JBT760544</t>
  </si>
  <si>
    <t>27-08-2026 | 02:42:33 AM</t>
  </si>
  <si>
    <t>JBT760477</t>
  </si>
  <si>
    <t>27-08-2026 | 02:41:12 AM</t>
  </si>
  <si>
    <t>00020101021115311974011600520446BONG1000231208129180014mony_rorn@bkrt5204599953031165802KH5909Mony Rorn6010Phnom Penh63042C01</t>
  </si>
  <si>
    <t>0002347262398711</t>
  </si>
  <si>
    <t>27-08-2026 | 02:45:08 AM</t>
  </si>
  <si>
    <t>Hash: 3a3d95fe</t>
  </si>
  <si>
    <t>0002347262398742</t>
  </si>
  <si>
    <t>27-08-2026 | 02:45:38 AM</t>
  </si>
  <si>
    <t>Hash: 7e38b7ab</t>
  </si>
  <si>
    <t>QBF960157</t>
  </si>
  <si>
    <t>27-08-2026 | 02:46:07 AM</t>
  </si>
  <si>
    <t>Hash: dd599b2c</t>
  </si>
  <si>
    <t>QBF960191</t>
  </si>
  <si>
    <t>27-08-2026 | 02:46:35 AM</t>
  </si>
  <si>
    <t>Hash: 21573f8b</t>
  </si>
  <si>
    <t>Regression Wing Bank App Automate Testcase configuration</t>
  </si>
  <si>
    <t>Version: 1.3</t>
  </si>
  <si>
    <t>Exchange Rate Config:</t>
  </si>
  <si>
    <t>Rate</t>
  </si>
  <si>
    <t>Date</t>
  </si>
  <si>
    <t>Sell Rate</t>
  </si>
  <si>
    <t>Tobe input</t>
  </si>
  <si>
    <t>Buy Rate</t>
  </si>
  <si>
    <t>Platform: Wing Bank App</t>
  </si>
  <si>
    <t>1. Customer Account</t>
  </si>
  <si>
    <t>No.</t>
  </si>
  <si>
    <t>Account Entity</t>
  </si>
  <si>
    <t>Account Number</t>
  </si>
  <si>
    <t>Currency</t>
  </si>
  <si>
    <t>07782083</t>
  </si>
  <si>
    <t>07782087</t>
  </si>
  <si>
    <t>103634567</t>
  </si>
  <si>
    <t>103634533</t>
  </si>
  <si>
    <t>Wing Wei Luy Number</t>
  </si>
  <si>
    <t>077989682</t>
  </si>
  <si>
    <t>2. Amount</t>
  </si>
  <si>
    <t>Type</t>
  </si>
  <si>
    <t>Small Amount KHR</t>
  </si>
  <si>
    <t xml:space="preserve">Big Amount KHR </t>
  </si>
  <si>
    <t>Small Amount USD</t>
  </si>
  <si>
    <t>Big Amount USD</t>
  </si>
  <si>
    <t>Payment Amount USD</t>
  </si>
  <si>
    <t>Payment Amount KHR</t>
  </si>
  <si>
    <t>Cash Out USD</t>
  </si>
  <si>
    <t>Cash Out KHR</t>
  </si>
  <si>
    <t>3. QR Config</t>
  </si>
  <si>
    <t>Display Decryped QR Code</t>
  </si>
  <si>
    <t>Account Type</t>
  </si>
  <si>
    <t>QR</t>
  </si>
  <si>
    <t>Merchant FC USD</t>
  </si>
  <si>
    <t>00020101021130420014wing_khqr@wing01090001342930207WINGPAY5204599953031165802KH5919PMOTEST HAI CAR SOP6010Phnom Penh624401062571730211855959890720715FCCMPY00035927863047A8A</t>
  </si>
  <si>
    <t>103263455</t>
  </si>
  <si>
    <t>youhai - fc</t>
  </si>
  <si>
    <t>Merchant FC KHR</t>
  </si>
  <si>
    <t>103263456</t>
  </si>
  <si>
    <t>Merchant PSP KHR</t>
  </si>
  <si>
    <t>00020101021130510014wing_khqr@wing01065331340207WINGPAY0308MERCHANT5204721153031165802KH5923PMOTest Youhai Ren Shop6010Phnom Penh6105120006304D37B</t>
  </si>
  <si>
    <t>07783074</t>
  </si>
  <si>
    <t>youhai - psp</t>
  </si>
  <si>
    <t>Merchant PSP USD</t>
  </si>
  <si>
    <t>00020101021130510014wing_khqr@wing01065331350207WINGPAY0308MERCHANT5204721153038405802KH5923PMOTest Youhai Ren Shop6010Phnom Penh6105120006304B296</t>
  </si>
  <si>
    <t>07783075</t>
  </si>
  <si>
    <t>WCX PSP (Agent) KHR</t>
  </si>
  <si>
    <t>T3B0OldDWApUaWw6OTM0MjM0IzkzNDIzNQo=</t>
  </si>
  <si>
    <t>youhai - wcx</t>
  </si>
  <si>
    <t>WCX PSP (Agent) USD</t>
  </si>
  <si>
    <t>Customer QR OtherBank USD</t>
  </si>
  <si>
    <t>00020101021229450016abaakhppxxx@abaa01090044268570208ABA Bank40390006abaP2P011259D64CDECE0F02090044268575204000053038405402305802KH5909RORN MONY6010Phnom Penh993400131776671446325011318082074463256304E369</t>
  </si>
  <si>
    <t>004426857</t>
  </si>
  <si>
    <t>mony</t>
  </si>
  <si>
    <t>Customer QR OtherBank KHR</t>
  </si>
  <si>
    <t>00020101021229450016abaakhppxxx@abaa01096009011050208ABA Bank40390006abaP2P011259D64CDECE0F020960090110552040000530311654061200005802KH5909RORN MONY6010Phnom Penh9934001317766714861950113180820748619563041F76</t>
  </si>
  <si>
    <t>Merchant QR OtherBank USD</t>
  </si>
  <si>
    <t>00020101021130510016abaakhppxxx@abaa01151260202084127730208ABA Bank5204597753038405802KH5909RORN MONY6010PHNOM PENH624268380010PAYWAY@ABA01071609752020903211772563048B49</t>
  </si>
  <si>
    <t>Merchant QR OtherBank KHR</t>
  </si>
  <si>
    <t>00020101021130510016abaakhppxxx@abaa01151260202084127730208ABA Bank5204597753031165802KH5909RORN MONY6010PHNOM PENH624268380010PAYWAY@ABA01071609752020903211772563049D7B</t>
  </si>
  <si>
    <t>4. Phone Top Up</t>
  </si>
  <si>
    <t>098229845</t>
  </si>
  <si>
    <t>078731099</t>
  </si>
  <si>
    <t>5.Bill Payment</t>
  </si>
  <si>
    <t>Bill Payment</t>
  </si>
  <si>
    <t>Other Bank USD Number</t>
  </si>
  <si>
    <t>Other Bank KHR Number</t>
  </si>
  <si>
    <t>600901105</t>
  </si>
  <si>
    <t>Bakong Number</t>
  </si>
  <si>
    <t>086938457</t>
  </si>
  <si>
    <t>EDC Consumer ID</t>
  </si>
  <si>
    <t>Angkor Hospital Number</t>
  </si>
  <si>
    <t>Platform: WCX eKYC (iOS)</t>
  </si>
  <si>
    <t xml:space="preserve">1. WCX Account </t>
  </si>
  <si>
    <t>WCX Account Type</t>
  </si>
  <si>
    <t>WCX PSP</t>
  </si>
  <si>
    <t>WCX KHR Account</t>
  </si>
  <si>
    <t>WCX Account</t>
  </si>
  <si>
    <t>WCX USD Account</t>
  </si>
  <si>
    <t xml:space="preserve">2. Customer Account </t>
  </si>
  <si>
    <t>Customer Account Type</t>
  </si>
  <si>
    <t>FC KHR</t>
  </si>
  <si>
    <t>FC KHR Account</t>
  </si>
  <si>
    <t>FC USD</t>
  </si>
  <si>
    <t>FC USD Account</t>
  </si>
  <si>
    <t>3. Amount Configuration</t>
  </si>
  <si>
    <t>Cash In Amount KHR</t>
  </si>
  <si>
    <t>Cash In Amount USD</t>
  </si>
  <si>
    <t>Cash Out Amount KHR</t>
  </si>
  <si>
    <t>Cash Out Amount USD</t>
  </si>
  <si>
    <t>Platform: Bakong (android)</t>
  </si>
  <si>
    <t xml:space="preserve">1. Customer Account </t>
  </si>
  <si>
    <t>PSP KHR</t>
  </si>
  <si>
    <t>PSP USD</t>
  </si>
  <si>
    <t>2. Receiver Account (Customer Other Bank)</t>
  </si>
  <si>
    <t>Customer Other Bank</t>
  </si>
  <si>
    <t>Bank Name</t>
  </si>
  <si>
    <t>Other Bank Account KHR</t>
  </si>
  <si>
    <t>Other Bank Account USD</t>
  </si>
  <si>
    <t>3. Amount</t>
  </si>
  <si>
    <t>Amount Type</t>
  </si>
  <si>
    <t>Amount KHR</t>
  </si>
  <si>
    <t>Amount USD</t>
  </si>
  <si>
    <t>Cross Currency KHR</t>
  </si>
  <si>
    <t>Cross Currency USD</t>
  </si>
  <si>
    <t>Platform:Wing Pay App under FC Android</t>
  </si>
  <si>
    <t xml:space="preserve">1. Merchant  Account </t>
  </si>
  <si>
    <t>Merchant FC Account KHR</t>
  </si>
  <si>
    <t>Merchant FC Account Number KHR</t>
  </si>
  <si>
    <t>Merchant FC Account USD</t>
  </si>
  <si>
    <t>Merchant FC Account Number USD</t>
  </si>
  <si>
    <t>Customer PSP  Account KHR</t>
  </si>
  <si>
    <t>PSP Number KHR</t>
  </si>
  <si>
    <t>Customer PSP  Account USD</t>
  </si>
  <si>
    <t>PSP Number USD</t>
  </si>
  <si>
    <t>Customer FC Account KHR</t>
  </si>
  <si>
    <t>FC Number KHR</t>
  </si>
  <si>
    <t>Customer FC Account USD</t>
  </si>
  <si>
    <t>FC Number USD</t>
  </si>
  <si>
    <t>Small KHR Amount</t>
  </si>
  <si>
    <t>Wing Pay Small Amount KHR</t>
  </si>
  <si>
    <t>Small USD Amount</t>
  </si>
  <si>
    <t>Wing Pay Small Amount USD</t>
  </si>
  <si>
    <t>Wing Pay Amount KHR</t>
  </si>
  <si>
    <t>Wing Pay Amount USD</t>
  </si>
  <si>
    <t>Platform:Wing Pay App under PSP Android</t>
  </si>
  <si>
    <t>Merchant PSP Account KHR</t>
  </si>
  <si>
    <t>Merchant PSP Account Number KHR</t>
  </si>
  <si>
    <t>Merchant PSP Account USD</t>
  </si>
  <si>
    <t>Merchant PSP Account Number USD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</si>
</sst>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&quot;៛&quot;#,##0"/>
    <numFmt numFmtId="177" formatCode="[$$-409]#,##0.00"/>
    <numFmt numFmtId="178" formatCode="#,##0[$៛-453]"/>
    <numFmt numFmtId="179" formatCode="[$-F800]dddd\,\ mmmm\ dd\,\ yyyy"/>
    <numFmt numFmtId="180" formatCode="&quot;$&quot;#,##0.00_);[Red]\(&quot;$&quot;#,##0.00\)"/>
  </numFmts>
  <fonts count="53">
    <font>
      <sz val="11"/>
      <color theme="1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sz val="11"/>
      <name val="Calibri"/>
      <charset val="1"/>
    </font>
    <font>
      <sz val="11"/>
      <color rgb="FF000000"/>
      <name val="Aptos Narrow"/>
      <charset val="134"/>
      <scheme val="minor"/>
    </font>
    <font>
      <b/>
      <sz val="11"/>
      <color rgb="FFFF0000"/>
      <name val="Aptos Narrow"/>
      <charset val="134"/>
      <scheme val="minor"/>
    </font>
    <font>
      <sz val="11"/>
      <color rgb="FF000000"/>
      <name val="Calibri"/>
      <charset val="1"/>
    </font>
    <font>
      <sz val="11"/>
      <name val="Aptos Display"/>
      <charset val="134"/>
    </font>
    <font>
      <b/>
      <sz val="11"/>
      <color rgb="FF000000"/>
      <name val="Aptos Display"/>
      <charset val="134"/>
    </font>
    <font>
      <sz val="11"/>
      <color rgb="FF000000"/>
      <name val="Aptos Display"/>
      <charset val="134"/>
    </font>
    <font>
      <b/>
      <sz val="11"/>
      <color theme="0"/>
      <name val="Aptos Narrow"/>
      <charset val="134"/>
      <scheme val="minor"/>
    </font>
    <font>
      <sz val="11"/>
      <name val="Aptos Narrow"/>
      <charset val="134"/>
      <scheme val="minor"/>
    </font>
    <font>
      <sz val="12"/>
      <color theme="1"/>
      <name val="Aptos"/>
      <charset val="134"/>
    </font>
    <font>
      <b/>
      <sz val="12"/>
      <color rgb="FF000000"/>
      <name val="Aptos"/>
      <charset val="134"/>
    </font>
    <font>
      <b/>
      <sz val="12"/>
      <name val="Aptos"/>
      <charset val="134"/>
    </font>
    <font>
      <sz val="12"/>
      <color rgb="FF000000"/>
      <name val="Aptos"/>
      <charset val="134"/>
    </font>
    <font>
      <b/>
      <sz val="11"/>
      <color theme="1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0"/>
      <color rgb="FFFF0000"/>
      <name val="Calibri"/>
      <charset val="134"/>
    </font>
    <font>
      <sz val="11"/>
      <color rgb="FF000000"/>
      <name val="Aptos"/>
      <charset val="1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u/>
      <sz val="11"/>
      <color indexed="12"/>
      <name val="Calibri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sz val="11"/>
      <color rgb="FF000000"/>
      <name val="Arial Unicode MS"/>
      <charset val="1"/>
    </font>
    <font>
      <b/>
      <sz val="12"/>
      <color rgb="FF006100"/>
      <name val="Calibri"/>
      <charset val="134"/>
    </font>
    <font>
      <sz val="11"/>
      <color rgb="FFFF0000"/>
      <name val="Calibri"/>
      <charset val="1"/>
    </font>
    <font>
      <sz val="11"/>
      <color rgb="FF000000"/>
      <name val="Arial Unicode MS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2"/>
      <color theme="1"/>
      <name val="Aptos Narrow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rgb="FFFFD966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rgb="FFE8E8E8"/>
      </top>
      <bottom style="thin">
        <color theme="2" tint="-0.4999847407452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145F82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3" fillId="0" borderId="0"/>
    <xf numFmtId="0" fontId="34" fillId="0" borderId="0">
      <alignment vertical="center"/>
    </xf>
    <xf numFmtId="0" fontId="0" fillId="12" borderId="25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8" fillId="0" borderId="26">
      <alignment vertical="center"/>
    </xf>
    <xf numFmtId="0" fontId="39" fillId="0" borderId="26">
      <alignment vertical="center"/>
    </xf>
    <xf numFmtId="0" fontId="40" fillId="0" borderId="27">
      <alignment vertical="center"/>
    </xf>
    <xf numFmtId="0" fontId="40" fillId="0" borderId="0">
      <alignment vertical="center"/>
    </xf>
    <xf numFmtId="0" fontId="41" fillId="13" borderId="28">
      <alignment vertical="center"/>
    </xf>
    <xf numFmtId="0" fontId="42" fillId="14" borderId="29">
      <alignment vertical="center"/>
    </xf>
    <xf numFmtId="0" fontId="43" fillId="14" borderId="28">
      <alignment vertical="center"/>
    </xf>
    <xf numFmtId="0" fontId="44" fillId="15" borderId="30">
      <alignment vertical="center"/>
    </xf>
    <xf numFmtId="0" fontId="45" fillId="0" borderId="31">
      <alignment vertical="center"/>
    </xf>
    <xf numFmtId="0" fontId="46" fillId="0" borderId="32">
      <alignment vertical="center"/>
    </xf>
    <xf numFmtId="0" fontId="47" fillId="16" borderId="0">
      <alignment vertical="center"/>
    </xf>
    <xf numFmtId="0" fontId="48" fillId="17" borderId="0">
      <alignment vertical="center"/>
    </xf>
    <xf numFmtId="0" fontId="49" fillId="18" borderId="0">
      <alignment vertical="center"/>
    </xf>
    <xf numFmtId="0" fontId="50" fillId="19" borderId="0">
      <alignment vertical="center"/>
    </xf>
    <xf numFmtId="0" fontId="51" fillId="20" borderId="0">
      <alignment vertical="center"/>
    </xf>
    <xf numFmtId="0" fontId="51" fillId="21" borderId="0">
      <alignment vertical="center"/>
    </xf>
    <xf numFmtId="0" fontId="50" fillId="22" borderId="0">
      <alignment vertical="center"/>
    </xf>
    <xf numFmtId="0" fontId="50" fillId="23" borderId="0">
      <alignment vertical="center"/>
    </xf>
    <xf numFmtId="0" fontId="51" fillId="24" borderId="0">
      <alignment vertical="center"/>
    </xf>
    <xf numFmtId="0" fontId="51" fillId="25" borderId="0">
      <alignment vertical="center"/>
    </xf>
    <xf numFmtId="0" fontId="50" fillId="26" borderId="0">
      <alignment vertical="center"/>
    </xf>
    <xf numFmtId="0" fontId="50" fillId="27" borderId="0">
      <alignment vertical="center"/>
    </xf>
    <xf numFmtId="0" fontId="51" fillId="28" borderId="0">
      <alignment vertical="center"/>
    </xf>
    <xf numFmtId="0" fontId="51" fillId="29" borderId="0">
      <alignment vertical="center"/>
    </xf>
    <xf numFmtId="0" fontId="50" fillId="30" borderId="0">
      <alignment vertical="center"/>
    </xf>
    <xf numFmtId="0" fontId="50" fillId="31" borderId="0">
      <alignment vertical="center"/>
    </xf>
    <xf numFmtId="0" fontId="51" fillId="32" borderId="0">
      <alignment vertical="center"/>
    </xf>
    <xf numFmtId="0" fontId="51" fillId="33" borderId="0">
      <alignment vertical="center"/>
    </xf>
    <xf numFmtId="0" fontId="50" fillId="34" borderId="0">
      <alignment vertical="center"/>
    </xf>
    <xf numFmtId="0" fontId="50" fillId="35" borderId="0">
      <alignment vertical="center"/>
    </xf>
    <xf numFmtId="0" fontId="51" fillId="36" borderId="0">
      <alignment vertical="center"/>
    </xf>
    <xf numFmtId="0" fontId="51" fillId="37" borderId="0">
      <alignment vertical="center"/>
    </xf>
    <xf numFmtId="0" fontId="50" fillId="38" borderId="0">
      <alignment vertical="center"/>
    </xf>
    <xf numFmtId="0" fontId="50" fillId="39" borderId="0">
      <alignment vertical="center"/>
    </xf>
    <xf numFmtId="0" fontId="51" fillId="40" borderId="0">
      <alignment vertical="center"/>
    </xf>
    <xf numFmtId="0" fontId="51" fillId="41" borderId="0">
      <alignment vertical="center"/>
    </xf>
    <xf numFmtId="0" fontId="50" fillId="42" borderId="0">
      <alignment vertical="center"/>
    </xf>
    <xf numFmtId="0" fontId="52" fillId="0" borderId="0"/>
  </cellStyleXfs>
  <cellXfs count="18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0" fillId="3" borderId="5" xfId="0" applyFill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0" fillId="0" borderId="3" xfId="0" applyBorder="1"/>
    <xf numFmtId="0" fontId="0" fillId="3" borderId="6" xfId="0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2" fillId="0" borderId="7" xfId="0" applyFont="1" applyBorder="1" applyAlignment="1">
      <alignment horizontal="left" vertical="center"/>
    </xf>
    <xf numFmtId="0" fontId="0" fillId="3" borderId="8" xfId="0" applyFill="1" applyBorder="1" applyAlignment="1">
      <alignment vertical="center"/>
    </xf>
    <xf numFmtId="49" fontId="0" fillId="3" borderId="6" xfId="0" applyNumberFormat="1" applyFill="1" applyBorder="1" applyAlignment="1">
      <alignment vertical="center"/>
    </xf>
    <xf numFmtId="49" fontId="0" fillId="0" borderId="1" xfId="0" applyNumberFormat="1" applyBorder="1" applyAlignment="1">
      <alignment horizontal="left" vertical="center"/>
    </xf>
    <xf numFmtId="0" fontId="0" fillId="0" borderId="9" xfId="0" applyBorder="1"/>
    <xf numFmtId="0" fontId="3" fillId="2" borderId="7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176" fontId="0" fillId="3" borderId="6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77" fontId="0" fillId="3" borderId="6" xfId="0" applyNumberFormat="1" applyFill="1" applyBorder="1" applyAlignment="1">
      <alignment horizontal="left" vertical="center"/>
    </xf>
    <xf numFmtId="0" fontId="0" fillId="0" borderId="10" xfId="0" applyBorder="1"/>
    <xf numFmtId="0" fontId="4" fillId="0" borderId="11" xfId="0" applyFont="1" applyBorder="1"/>
    <xf numFmtId="0" fontId="3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0" fillId="3" borderId="1" xfId="0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3" borderId="6" xfId="0" applyFill="1" applyBorder="1" applyAlignment="1">
      <alignment vertical="center" wrapText="1"/>
    </xf>
    <xf numFmtId="0" fontId="0" fillId="3" borderId="6" xfId="0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5" borderId="13" xfId="0" applyFont="1" applyFill="1" applyBorder="1" applyAlignment="1">
      <alignment vertical="center"/>
    </xf>
    <xf numFmtId="0" fontId="0" fillId="5" borderId="14" xfId="0" applyFill="1" applyBorder="1"/>
    <xf numFmtId="0" fontId="0" fillId="5" borderId="14" xfId="0" applyFill="1" applyBorder="1" applyAlignment="1">
      <alignment vertical="center"/>
    </xf>
    <xf numFmtId="0" fontId="0" fillId="5" borderId="14" xfId="0" applyFill="1" applyBorder="1" applyAlignment="1">
      <alignment horizontal="left" vertical="center"/>
    </xf>
    <xf numFmtId="0" fontId="0" fillId="5" borderId="15" xfId="0" applyFill="1" applyBorder="1"/>
    <xf numFmtId="0" fontId="2" fillId="0" borderId="11" xfId="0" applyFont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0" fillId="3" borderId="1" xfId="0" applyFill="1" applyBorder="1"/>
    <xf numFmtId="0" fontId="12" fillId="6" borderId="13" xfId="0" applyFont="1" applyFill="1" applyBorder="1" applyAlignment="1">
      <alignment vertical="center"/>
    </xf>
    <xf numFmtId="0" fontId="0" fillId="6" borderId="14" xfId="0" applyFill="1" applyBorder="1"/>
    <xf numFmtId="0" fontId="0" fillId="6" borderId="14" xfId="0" applyFill="1" applyBorder="1" applyAlignment="1">
      <alignment vertical="center"/>
    </xf>
    <xf numFmtId="0" fontId="0" fillId="6" borderId="14" xfId="0" applyFill="1" applyBorder="1" applyAlignment="1">
      <alignment horizontal="left" vertical="center"/>
    </xf>
    <xf numFmtId="0" fontId="0" fillId="6" borderId="15" xfId="0" applyFill="1" applyBorder="1"/>
    <xf numFmtId="0" fontId="12" fillId="6" borderId="1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vertical="center"/>
    </xf>
    <xf numFmtId="0" fontId="12" fillId="6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vertical="center"/>
    </xf>
    <xf numFmtId="0" fontId="0" fillId="7" borderId="1" xfId="0" applyFill="1" applyBorder="1"/>
    <xf numFmtId="0" fontId="12" fillId="8" borderId="13" xfId="0" applyFont="1" applyFill="1" applyBorder="1" applyAlignment="1">
      <alignment vertical="center"/>
    </xf>
    <xf numFmtId="0" fontId="0" fillId="8" borderId="14" xfId="0" applyFill="1" applyBorder="1"/>
    <xf numFmtId="0" fontId="0" fillId="8" borderId="14" xfId="0" applyFill="1" applyBorder="1" applyAlignment="1">
      <alignment vertical="center"/>
    </xf>
    <xf numFmtId="0" fontId="0" fillId="8" borderId="14" xfId="0" applyFill="1" applyBorder="1" applyAlignment="1">
      <alignment horizontal="left" vertical="center"/>
    </xf>
    <xf numFmtId="0" fontId="0" fillId="8" borderId="15" xfId="0" applyFill="1" applyBorder="1"/>
    <xf numFmtId="0" fontId="12" fillId="8" borderId="1" xfId="0" applyFont="1" applyFill="1" applyBorder="1" applyAlignment="1">
      <alignment horizontal="center" vertical="center"/>
    </xf>
    <xf numFmtId="0" fontId="12" fillId="8" borderId="16" xfId="0" applyFont="1" applyFill="1" applyBorder="1" applyAlignment="1">
      <alignment vertical="center"/>
    </xf>
    <xf numFmtId="0" fontId="12" fillId="8" borderId="1" xfId="0" applyFont="1" applyFill="1" applyBorder="1" applyAlignment="1">
      <alignment horizontal="left" vertical="center"/>
    </xf>
    <xf numFmtId="0" fontId="12" fillId="8" borderId="12" xfId="0" applyFont="1" applyFill="1" applyBorder="1" applyAlignment="1">
      <alignment vertical="center"/>
    </xf>
    <xf numFmtId="0" fontId="12" fillId="8" borderId="17" xfId="0" applyFont="1" applyFill="1" applyBorder="1" applyAlignment="1">
      <alignment horizontal="left" vertical="center"/>
    </xf>
    <xf numFmtId="0" fontId="12" fillId="8" borderId="17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0" fillId="3" borderId="3" xfId="0" applyFill="1" applyBorder="1"/>
    <xf numFmtId="0" fontId="13" fillId="0" borderId="1" xfId="0" applyFont="1" applyBorder="1" applyAlignment="1">
      <alignment horizontal="left" vertical="center"/>
    </xf>
    <xf numFmtId="0" fontId="12" fillId="9" borderId="13" xfId="0" applyFont="1" applyFill="1" applyBorder="1" applyAlignment="1">
      <alignment vertical="center"/>
    </xf>
    <xf numFmtId="0" fontId="0" fillId="9" borderId="14" xfId="0" applyFill="1" applyBorder="1"/>
    <xf numFmtId="0" fontId="0" fillId="9" borderId="14" xfId="0" applyFill="1" applyBorder="1" applyAlignment="1">
      <alignment vertical="center"/>
    </xf>
    <xf numFmtId="0" fontId="0" fillId="9" borderId="14" xfId="0" applyFill="1" applyBorder="1" applyAlignment="1">
      <alignment horizontal="left" vertical="center"/>
    </xf>
    <xf numFmtId="0" fontId="0" fillId="9" borderId="15" xfId="0" applyFill="1" applyBorder="1"/>
    <xf numFmtId="0" fontId="12" fillId="9" borderId="1" xfId="0" applyFont="1" applyFill="1" applyBorder="1" applyAlignment="1">
      <alignment horizontal="center" vertical="center"/>
    </xf>
    <xf numFmtId="0" fontId="12" fillId="9" borderId="16" xfId="0" applyFont="1" applyFill="1" applyBorder="1" applyAlignment="1">
      <alignment vertical="center"/>
    </xf>
    <xf numFmtId="0" fontId="12" fillId="9" borderId="1" xfId="0" applyFont="1" applyFill="1" applyBorder="1" applyAlignment="1">
      <alignment horizontal="left" vertical="center"/>
    </xf>
    <xf numFmtId="0" fontId="12" fillId="9" borderId="12" xfId="0" applyFont="1" applyFill="1" applyBorder="1" applyAlignment="1">
      <alignment vertical="center"/>
    </xf>
    <xf numFmtId="0" fontId="12" fillId="9" borderId="17" xfId="0" applyFont="1" applyFill="1" applyBorder="1" applyAlignment="1">
      <alignment horizontal="left" vertical="center"/>
    </xf>
    <xf numFmtId="0" fontId="12" fillId="9" borderId="17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2" borderId="18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178" fontId="14" fillId="0" borderId="18" xfId="0" applyNumberFormat="1" applyFont="1" applyBorder="1" applyAlignment="1">
      <alignment horizontal="center" vertical="center" wrapText="1"/>
    </xf>
    <xf numFmtId="179" fontId="17" fillId="0" borderId="18" xfId="0" applyNumberFormat="1" applyFont="1" applyBorder="1" applyAlignment="1">
      <alignment horizontal="center" vertical="center" wrapText="1"/>
    </xf>
    <xf numFmtId="0" fontId="16" fillId="2" borderId="19" xfId="22" applyFont="1" applyFill="1" applyBorder="1" applyAlignment="1">
      <alignment horizontal="center" vertical="center"/>
    </xf>
    <xf numFmtId="0" fontId="16" fillId="2" borderId="4" xfId="22" applyFont="1" applyFill="1" applyBorder="1" applyAlignment="1">
      <alignment horizontal="center" vertical="center" wrapText="1"/>
    </xf>
    <xf numFmtId="49" fontId="16" fillId="2" borderId="19" xfId="22" applyNumberFormat="1" applyFont="1" applyFill="1" applyBorder="1" applyAlignment="1">
      <alignment horizontal="center" vertical="center"/>
    </xf>
    <xf numFmtId="0" fontId="16" fillId="2" borderId="20" xfId="22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49" fontId="19" fillId="0" borderId="17" xfId="0" applyNumberFormat="1" applyFont="1" applyBorder="1" applyAlignment="1">
      <alignment horizontal="center" vertical="center" wrapText="1"/>
    </xf>
    <xf numFmtId="49" fontId="18" fillId="0" borderId="17" xfId="0" applyNumberFormat="1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left" vertical="center" wrapText="1"/>
    </xf>
    <xf numFmtId="49" fontId="21" fillId="0" borderId="1" xfId="0" applyNumberFormat="1" applyFont="1" applyBorder="1" applyAlignment="1">
      <alignment horizontal="center" vertical="center"/>
    </xf>
    <xf numFmtId="49" fontId="21" fillId="0" borderId="1" xfId="0" applyNumberFormat="1" applyFont="1" applyBorder="1" applyAlignment="1">
      <alignment vertical="center" wrapText="1"/>
    </xf>
    <xf numFmtId="0" fontId="22" fillId="0" borderId="18" xfId="0" applyFont="1" applyBorder="1" applyAlignment="1">
      <alignment horizontal="center" vertical="center"/>
    </xf>
    <xf numFmtId="0" fontId="1" fillId="0" borderId="1" xfId="49" applyFont="1" applyBorder="1" applyAlignment="1">
      <alignment horizontal="center" vertical="center"/>
    </xf>
    <xf numFmtId="0" fontId="23" fillId="10" borderId="3" xfId="0" applyFont="1" applyFill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/>
    </xf>
    <xf numFmtId="0" fontId="1" fillId="11" borderId="1" xfId="49" applyFont="1" applyFill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49" fontId="27" fillId="0" borderId="1" xfId="0" applyNumberFormat="1" applyFont="1" applyBorder="1" applyAlignment="1">
      <alignment horizontal="left" vertical="center" wrapText="1"/>
    </xf>
    <xf numFmtId="49" fontId="28" fillId="0" borderId="1" xfId="0" applyNumberFormat="1" applyFont="1" applyBorder="1" applyAlignment="1">
      <alignment vertical="center" wrapText="1"/>
    </xf>
    <xf numFmtId="49" fontId="18" fillId="0" borderId="3" xfId="0" applyNumberFormat="1" applyFont="1" applyBorder="1" applyAlignment="1">
      <alignment horizontal="center" vertical="center" wrapText="1"/>
    </xf>
    <xf numFmtId="49" fontId="27" fillId="0" borderId="1" xfId="0" applyNumberFormat="1" applyFont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 wrapText="1"/>
    </xf>
    <xf numFmtId="180" fontId="23" fillId="10" borderId="3" xfId="0" applyNumberFormat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left" vertical="center" wrapText="1"/>
    </xf>
    <xf numFmtId="0" fontId="8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49" fontId="28" fillId="0" borderId="1" xfId="0" applyNumberFormat="1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49" fontId="21" fillId="0" borderId="1" xfId="0" applyNumberFormat="1" applyFont="1" applyBorder="1" applyAlignment="1">
      <alignment horizontal="left" vertical="top" wrapText="1"/>
    </xf>
    <xf numFmtId="180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49" fontId="30" fillId="0" borderId="1" xfId="0" applyNumberFormat="1" applyFont="1" applyBorder="1" applyAlignment="1">
      <alignment horizontal="center" vertical="center"/>
    </xf>
    <xf numFmtId="49" fontId="21" fillId="0" borderId="23" xfId="0" applyNumberFormat="1" applyFont="1" applyBorder="1" applyAlignment="1">
      <alignment horizontal="center" vertical="center" wrapText="1"/>
    </xf>
    <xf numFmtId="49" fontId="19" fillId="0" borderId="3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/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20" fillId="0" borderId="1" xfId="0" applyFont="1" applyBorder="1" applyAlignment="1">
      <alignment wrapText="1"/>
    </xf>
    <xf numFmtId="0" fontId="20" fillId="0" borderId="1" xfId="0" applyFont="1" applyBorder="1" applyAlignment="1">
      <alignment vertical="center" wrapText="1"/>
    </xf>
    <xf numFmtId="0" fontId="31" fillId="0" borderId="21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/>
    </xf>
    <xf numFmtId="0" fontId="25" fillId="0" borderId="24" xfId="0" applyFont="1" applyBorder="1" applyAlignment="1">
      <alignment horizontal="center" vertical="center"/>
    </xf>
    <xf numFmtId="49" fontId="18" fillId="0" borderId="1" xfId="0" applyNumberFormat="1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49" fontId="19" fillId="0" borderId="1" xfId="0" applyNumberFormat="1" applyFont="1" applyBorder="1" applyAlignment="1">
      <alignment vertical="center" wrapText="1"/>
    </xf>
    <xf numFmtId="0" fontId="18" fillId="0" borderId="1" xfId="0" applyFont="1" applyBorder="1" applyAlignment="1">
      <alignment vertical="center"/>
    </xf>
    <xf numFmtId="0" fontId="23" fillId="0" borderId="3" xfId="0" applyFont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/>
    </xf>
    <xf numFmtId="0" fontId="1" fillId="0" borderId="1" xfId="49" applyFont="1" applyBorder="1" applyAlignment="1" quotePrefix="1">
      <alignment horizontal="center" vertical="center"/>
    </xf>
    <xf numFmtId="0" fontId="1" fillId="11" borderId="1" xfId="49" applyFont="1" applyFill="1" applyBorder="1" applyAlignment="1" quotePrefix="1">
      <alignment horizontal="center" vertical="center"/>
    </xf>
    <xf numFmtId="0" fontId="7" fillId="0" borderId="22" xfId="0" applyFont="1" applyBorder="1" applyAlignment="1" quotePrefix="1">
      <alignment horizontal="center" vertical="center" wrapText="1"/>
    </xf>
    <xf numFmtId="0" fontId="21" fillId="0" borderId="3" xfId="0" applyFont="1" applyBorder="1" applyAlignment="1" quotePrefix="1">
      <alignment horizontal="center" vertical="center" wrapText="1"/>
    </xf>
    <xf numFmtId="0" fontId="0" fillId="3" borderId="5" xfId="0" applyFill="1" applyBorder="1" applyAlignment="1" quotePrefix="1">
      <alignment vertical="center"/>
    </xf>
    <xf numFmtId="0" fontId="0" fillId="3" borderId="6" xfId="0" applyFill="1" applyBorder="1" applyAlignment="1" quotePrefix="1">
      <alignment vertical="center"/>
    </xf>
    <xf numFmtId="0" fontId="0" fillId="3" borderId="8" xfId="0" applyFill="1" applyBorder="1" applyAlignment="1" quotePrefix="1">
      <alignment vertical="center"/>
    </xf>
    <xf numFmtId="49" fontId="0" fillId="3" borderId="6" xfId="0" applyNumberFormat="1" applyFill="1" applyBorder="1" applyAlignment="1" quotePrefix="1">
      <alignment vertical="center"/>
    </xf>
    <xf numFmtId="0" fontId="0" fillId="3" borderId="1" xfId="0" applyFill="1" applyBorder="1" applyAlignment="1" quotePrefix="1">
      <alignment horizontal="left" vertical="center" wrapText="1"/>
    </xf>
    <xf numFmtId="0" fontId="0" fillId="0" borderId="0" xfId="0" quotePrefix="1"/>
    <xf numFmtId="0" fontId="0" fillId="3" borderId="6" xfId="0" applyFill="1" applyBorder="1" applyAlignment="1" quotePrefix="1">
      <alignment vertical="center" wrapText="1"/>
    </xf>
    <xf numFmtId="0" fontId="0" fillId="3" borderId="6" xfId="0" applyFill="1" applyBorder="1" applyAlignment="1" quotePrefix="1">
      <alignment horizontal="left" vertical="center" wrapText="1"/>
    </xf>
    <xf numFmtId="0" fontId="0" fillId="0" borderId="1" xfId="0" applyBorder="1" applyAlignment="1" quotePrefix="1">
      <alignment horizontal="left" vertical="center"/>
    </xf>
    <xf numFmtId="0" fontId="6" fillId="0" borderId="6" xfId="0" applyFont="1" applyBorder="1" applyAlignment="1" quotePrefix="1">
      <alignment horizontal="left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5">
    <dxf>
      <font>
        <color theme="1"/>
      </font>
      <fill>
        <patternFill patternType="solid">
          <bgColor theme="0" tint="-0.249977111117893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V74"/>
  <sheetViews>
    <sheetView zoomScale="70" zoomScaleNormal="70" topLeftCell="I1" workbookViewId="0">
      <pane ySplit="1" topLeftCell="A43" activePane="bottomLeft" state="frozen"/>
      <selection/>
      <selection pane="bottomLeft" activeCell="J49" sqref="J49"/>
    </sheetView>
  </sheetViews>
  <sheetFormatPr defaultColWidth="10.8269230769231" defaultRowHeight="15.75" customHeight="1"/>
  <cols>
    <col min="1" max="1" width="10.8269230769231" style="107" customWidth="1"/>
    <col min="2" max="2" width="37.4134615384615" style="108" customWidth="1"/>
    <col min="3" max="3" width="20.6730769230769" style="108" customWidth="1"/>
    <col min="4" max="4" width="37.4134615384615" style="109" customWidth="1"/>
    <col min="5" max="5" width="99.2019230769231" style="108" customWidth="1"/>
    <col min="6" max="6" width="37.4134615384615" style="108" customWidth="1"/>
    <col min="7" max="7" width="100.432692307692" style="108" customWidth="1"/>
    <col min="8" max="8" width="38.1538461538462" style="107" customWidth="1"/>
    <col min="9" max="9" width="65.9711538461538" style="109" customWidth="1"/>
    <col min="10" max="10" width="52.1826923076923" style="108" customWidth="1"/>
    <col min="11" max="11" width="41.3557692307692" style="108" customWidth="1"/>
    <col min="12" max="12" width="45.5384615384615" style="108" customWidth="1"/>
    <col min="13" max="13" width="29.5384615384615" style="108" customWidth="1"/>
    <col min="14" max="14" width="30.7692307692308" style="108" customWidth="1"/>
    <col min="15" max="15" width="32.25" style="108" customWidth="1"/>
    <col min="16" max="16" width="39.1346153846154" style="107" customWidth="1"/>
    <col min="17" max="17" width="65.4807692307692" style="110" customWidth="1"/>
    <col min="18" max="18" width="76.0576923076923" style="108" customWidth="1"/>
    <col min="19" max="19" width="33.2307692307692" style="110" customWidth="1"/>
    <col min="20" max="20" width="67.2019230769231" style="108" customWidth="1"/>
    <col min="21" max="21" width="75.5673076923077" style="108" customWidth="1"/>
    <col min="22" max="22" width="45.5384615384615" style="108" customWidth="1"/>
    <col min="23" max="16367" width="10.8269230769231" style="108" customWidth="1"/>
    <col min="16368" max="16384" width="10.8269230769231" style="108"/>
  </cols>
  <sheetData>
    <row r="1" ht="30.95" customHeight="1" spans="1:22">
      <c r="A1" s="115" t="s">
        <v>0</v>
      </c>
      <c r="B1" s="115" t="s">
        <v>1</v>
      </c>
      <c r="C1" s="115" t="s">
        <v>2</v>
      </c>
      <c r="D1" s="115" t="s">
        <v>3</v>
      </c>
      <c r="E1" s="115" t="s">
        <v>4</v>
      </c>
      <c r="F1" s="115" t="s">
        <v>5</v>
      </c>
      <c r="G1" s="115" t="s">
        <v>6</v>
      </c>
      <c r="H1" s="115" t="s">
        <v>7</v>
      </c>
      <c r="I1" s="115" t="s">
        <v>8</v>
      </c>
      <c r="J1" s="116" t="s">
        <v>9</v>
      </c>
      <c r="K1" s="115" t="s">
        <v>10</v>
      </c>
      <c r="L1" s="115" t="s">
        <v>11</v>
      </c>
      <c r="M1" s="115" t="s">
        <v>12</v>
      </c>
      <c r="N1" s="115" t="s">
        <v>13</v>
      </c>
      <c r="O1" s="115" t="s">
        <v>14</v>
      </c>
      <c r="P1" s="115" t="s">
        <v>15</v>
      </c>
      <c r="Q1" s="115" t="s">
        <v>16</v>
      </c>
      <c r="R1" s="115" t="s">
        <v>17</v>
      </c>
      <c r="S1" s="115" t="s">
        <v>18</v>
      </c>
      <c r="T1" s="117" t="s">
        <v>19</v>
      </c>
      <c r="U1" s="117" t="s">
        <v>20</v>
      </c>
      <c r="V1" s="115" t="s">
        <v>21</v>
      </c>
    </row>
    <row r="2" ht="59" customHeight="1" spans="1:22">
      <c r="A2" s="119">
        <v>1</v>
      </c>
      <c r="B2" s="120" t="s">
        <v>22</v>
      </c>
      <c r="C2" s="120"/>
      <c r="D2" s="174" t="s">
        <v>23</v>
      </c>
      <c r="E2" s="123" t="s">
        <v>24</v>
      </c>
      <c r="F2" s="124" t="s">
        <v>25</v>
      </c>
      <c r="G2" s="125" t="s">
        <v>24</v>
      </c>
      <c r="H2" s="126" t="s">
        <v>26</v>
      </c>
      <c r="I2" s="184" t="str">
        <f>'Wing Bank App'!I5</f>
        <v>07782083</v>
      </c>
      <c r="J2" s="126" t="s">
        <v>27</v>
      </c>
      <c r="K2" s="126" t="s">
        <v>28</v>
      </c>
      <c r="L2" s="128">
        <f>'Wing Bank App'!L5</f>
        <v>120000</v>
      </c>
      <c r="M2" s="129" t="s">
        <v>29</v>
      </c>
      <c r="N2" s="129" t="s">
        <v>29</v>
      </c>
      <c r="O2" s="175"/>
      <c r="P2" s="131" t="s">
        <v>30</v>
      </c>
      <c r="Q2" s="185" t="str">
        <f>'Wing Bank App'!Q5</f>
        <v>103634533</v>
      </c>
      <c r="R2" s="133" t="s">
        <v>31</v>
      </c>
      <c r="S2" s="131" t="s">
        <v>32</v>
      </c>
      <c r="T2" s="175"/>
      <c r="U2" s="176"/>
      <c r="V2" s="159" t="str">
        <f>'Wing Bank App'!Z5</f>
        <v>Passed</v>
      </c>
    </row>
    <row r="3" ht="59" customHeight="1" spans="1:22">
      <c r="A3" s="119">
        <v>2</v>
      </c>
      <c r="B3" s="120" t="s">
        <v>33</v>
      </c>
      <c r="C3" s="120"/>
      <c r="D3" s="174" t="s">
        <v>23</v>
      </c>
      <c r="E3" s="123" t="s">
        <v>34</v>
      </c>
      <c r="F3" s="124" t="s">
        <v>25</v>
      </c>
      <c r="G3" s="125" t="s">
        <v>34</v>
      </c>
      <c r="H3" s="126" t="s">
        <v>30</v>
      </c>
      <c r="I3" s="184" t="str">
        <f>'Wing Bank App'!I6</f>
        <v>103634567</v>
      </c>
      <c r="J3" s="126" t="s">
        <v>31</v>
      </c>
      <c r="K3" s="126" t="s">
        <v>28</v>
      </c>
      <c r="L3" s="128">
        <f>'Wing Bank App'!L6</f>
        <v>120000</v>
      </c>
      <c r="M3" s="129" t="s">
        <v>29</v>
      </c>
      <c r="N3" s="129" t="s">
        <v>29</v>
      </c>
      <c r="O3" s="158"/>
      <c r="P3" s="131" t="s">
        <v>26</v>
      </c>
      <c r="Q3" s="185" t="str">
        <f>'Wing Bank App'!Q6</f>
        <v>07782087</v>
      </c>
      <c r="R3" s="133" t="s">
        <v>27</v>
      </c>
      <c r="S3" s="131" t="s">
        <v>32</v>
      </c>
      <c r="T3" s="158"/>
      <c r="U3" s="148"/>
      <c r="V3" s="159" t="str">
        <f>'Wing Bank App'!Z6</f>
        <v>Passed</v>
      </c>
    </row>
    <row r="4" ht="59" customHeight="1" spans="1:22">
      <c r="A4" s="119">
        <v>3</v>
      </c>
      <c r="B4" s="120" t="s">
        <v>35</v>
      </c>
      <c r="C4" s="120"/>
      <c r="D4" s="174" t="s">
        <v>23</v>
      </c>
      <c r="E4" s="123" t="s">
        <v>36</v>
      </c>
      <c r="F4" s="124" t="s">
        <v>25</v>
      </c>
      <c r="G4" s="125" t="s">
        <v>36</v>
      </c>
      <c r="H4" s="133" t="s">
        <v>26</v>
      </c>
      <c r="I4" s="184" t="str">
        <f>'Wing Bank App'!I7</f>
        <v>07782087</v>
      </c>
      <c r="J4" s="133" t="s">
        <v>27</v>
      </c>
      <c r="K4" s="133" t="s">
        <v>32</v>
      </c>
      <c r="L4" s="128">
        <f>'Wing Bank App'!L7</f>
        <v>30</v>
      </c>
      <c r="M4" s="129" t="s">
        <v>29</v>
      </c>
      <c r="N4" s="129" t="s">
        <v>29</v>
      </c>
      <c r="O4" s="158"/>
      <c r="P4" s="126" t="s">
        <v>30</v>
      </c>
      <c r="Q4" s="185" t="str">
        <f>'Wing Bank App'!Q7</f>
        <v>103634567</v>
      </c>
      <c r="R4" s="126" t="s">
        <v>31</v>
      </c>
      <c r="S4" s="126" t="s">
        <v>28</v>
      </c>
      <c r="T4" s="158"/>
      <c r="U4" s="139"/>
      <c r="V4" s="159" t="str">
        <f>'Wing Bank App'!Z7</f>
        <v>Passed</v>
      </c>
    </row>
    <row r="5" ht="59" customHeight="1" spans="1:22">
      <c r="A5" s="119">
        <v>4</v>
      </c>
      <c r="B5" s="120" t="s">
        <v>37</v>
      </c>
      <c r="C5" s="120"/>
      <c r="D5" s="174" t="s">
        <v>23</v>
      </c>
      <c r="E5" s="123" t="s">
        <v>38</v>
      </c>
      <c r="F5" s="124" t="s">
        <v>25</v>
      </c>
      <c r="G5" s="125" t="s">
        <v>38</v>
      </c>
      <c r="H5" s="133" t="s">
        <v>30</v>
      </c>
      <c r="I5" s="184" t="str">
        <f>'Wing Bank App'!I8</f>
        <v>103634533</v>
      </c>
      <c r="J5" s="133" t="s">
        <v>31</v>
      </c>
      <c r="K5" s="133" t="s">
        <v>32</v>
      </c>
      <c r="L5" s="128">
        <f>'Wing Bank App'!L8</f>
        <v>30</v>
      </c>
      <c r="M5" s="129" t="s">
        <v>29</v>
      </c>
      <c r="N5" s="129" t="s">
        <v>29</v>
      </c>
      <c r="O5" s="158"/>
      <c r="P5" s="126" t="s">
        <v>26</v>
      </c>
      <c r="Q5" s="185" t="str">
        <f>'Wing Bank App'!Q8</f>
        <v>07782083</v>
      </c>
      <c r="R5" s="126" t="s">
        <v>27</v>
      </c>
      <c r="S5" s="126" t="s">
        <v>28</v>
      </c>
      <c r="T5" s="158"/>
      <c r="U5" s="148"/>
      <c r="V5" s="159" t="str">
        <f>'Wing Bank App'!Z8</f>
        <v>Passed</v>
      </c>
    </row>
    <row r="6" ht="59" customHeight="1" spans="1:22">
      <c r="A6" s="119">
        <v>5</v>
      </c>
      <c r="B6" s="120" t="s">
        <v>39</v>
      </c>
      <c r="C6" s="120"/>
      <c r="D6" s="174" t="s">
        <v>23</v>
      </c>
      <c r="E6" s="123" t="s">
        <v>40</v>
      </c>
      <c r="F6" s="124" t="s">
        <v>25</v>
      </c>
      <c r="G6" s="125" t="s">
        <v>40</v>
      </c>
      <c r="H6" s="126" t="s">
        <v>26</v>
      </c>
      <c r="I6" s="184" t="str">
        <f>'Wing Bank App'!I9</f>
        <v>07782083</v>
      </c>
      <c r="J6" s="126" t="s">
        <v>27</v>
      </c>
      <c r="K6" s="126" t="s">
        <v>28</v>
      </c>
      <c r="L6" s="128">
        <f>'Wing Bank App'!L9</f>
        <v>120000</v>
      </c>
      <c r="M6" s="129" t="s">
        <v>29</v>
      </c>
      <c r="N6" s="129" t="s">
        <v>29</v>
      </c>
      <c r="O6" s="158"/>
      <c r="P6" s="131" t="s">
        <v>26</v>
      </c>
      <c r="Q6" s="185" t="str">
        <f>'Wing Bank App'!Q9</f>
        <v>07782087</v>
      </c>
      <c r="R6" s="133" t="s">
        <v>27</v>
      </c>
      <c r="S6" s="131" t="s">
        <v>32</v>
      </c>
      <c r="T6" s="158"/>
      <c r="U6" s="148"/>
      <c r="V6" s="159" t="str">
        <f>'Wing Bank App'!Z9</f>
        <v>Passed</v>
      </c>
    </row>
    <row r="7" ht="59" customHeight="1" spans="1:22">
      <c r="A7" s="119">
        <v>6</v>
      </c>
      <c r="B7" s="120" t="s">
        <v>41</v>
      </c>
      <c r="C7" s="120"/>
      <c r="D7" s="174" t="s">
        <v>23</v>
      </c>
      <c r="E7" s="123" t="s">
        <v>42</v>
      </c>
      <c r="F7" s="124" t="s">
        <v>25</v>
      </c>
      <c r="G7" s="125" t="s">
        <v>42</v>
      </c>
      <c r="H7" s="126" t="s">
        <v>30</v>
      </c>
      <c r="I7" s="184" t="str">
        <f>'Wing Bank App'!I10</f>
        <v>103634567</v>
      </c>
      <c r="J7" s="126" t="s">
        <v>31</v>
      </c>
      <c r="K7" s="126" t="s">
        <v>28</v>
      </c>
      <c r="L7" s="128">
        <f>'Wing Bank App'!L10</f>
        <v>120000</v>
      </c>
      <c r="M7" s="129" t="s">
        <v>29</v>
      </c>
      <c r="N7" s="129" t="s">
        <v>29</v>
      </c>
      <c r="O7" s="177"/>
      <c r="P7" s="131" t="s">
        <v>30</v>
      </c>
      <c r="Q7" s="185" t="str">
        <f>'Wing Bank App'!Q10</f>
        <v>103634533</v>
      </c>
      <c r="R7" s="133" t="s">
        <v>31</v>
      </c>
      <c r="S7" s="131" t="s">
        <v>32</v>
      </c>
      <c r="T7" s="158"/>
      <c r="U7" s="148"/>
      <c r="V7" s="159" t="str">
        <f>'Wing Bank App'!Z10</f>
        <v>Passed</v>
      </c>
    </row>
    <row r="8" ht="59" customHeight="1" spans="1:22">
      <c r="A8" s="119">
        <v>7</v>
      </c>
      <c r="B8" s="120" t="s">
        <v>43</v>
      </c>
      <c r="C8" s="120"/>
      <c r="D8" s="174" t="s">
        <v>23</v>
      </c>
      <c r="E8" s="123" t="s">
        <v>44</v>
      </c>
      <c r="F8" s="124" t="s">
        <v>25</v>
      </c>
      <c r="G8" s="125" t="s">
        <v>44</v>
      </c>
      <c r="H8" s="133" t="s">
        <v>26</v>
      </c>
      <c r="I8" s="184" t="str">
        <f>'Wing Bank App'!I11</f>
        <v>07782087</v>
      </c>
      <c r="J8" s="133" t="s">
        <v>27</v>
      </c>
      <c r="K8" s="133" t="s">
        <v>32</v>
      </c>
      <c r="L8" s="128">
        <f>'Wing Bank App'!L11</f>
        <v>30</v>
      </c>
      <c r="M8" s="129" t="s">
        <v>29</v>
      </c>
      <c r="N8" s="129" t="s">
        <v>29</v>
      </c>
      <c r="O8" s="158"/>
      <c r="P8" s="126" t="s">
        <v>26</v>
      </c>
      <c r="Q8" s="185" t="str">
        <f>'Wing Bank App'!Q11</f>
        <v>07782083</v>
      </c>
      <c r="R8" s="126" t="s">
        <v>27</v>
      </c>
      <c r="S8" s="126" t="s">
        <v>28</v>
      </c>
      <c r="T8" s="177"/>
      <c r="U8" s="139"/>
      <c r="V8" s="159" t="str">
        <f>'Wing Bank App'!Z11</f>
        <v>Passed</v>
      </c>
    </row>
    <row r="9" ht="59" customHeight="1" spans="1:22">
      <c r="A9" s="119">
        <v>8</v>
      </c>
      <c r="B9" s="120" t="s">
        <v>45</v>
      </c>
      <c r="C9" s="120"/>
      <c r="D9" s="174" t="s">
        <v>23</v>
      </c>
      <c r="E9" s="123" t="s">
        <v>46</v>
      </c>
      <c r="F9" s="124" t="s">
        <v>25</v>
      </c>
      <c r="G9" s="125" t="s">
        <v>46</v>
      </c>
      <c r="H9" s="133" t="s">
        <v>30</v>
      </c>
      <c r="I9" s="184" t="str">
        <f>'Wing Bank App'!I12</f>
        <v>103634533</v>
      </c>
      <c r="J9" s="133" t="s">
        <v>27</v>
      </c>
      <c r="K9" s="133" t="s">
        <v>32</v>
      </c>
      <c r="L9" s="128">
        <f>'Wing Bank App'!L12</f>
        <v>30</v>
      </c>
      <c r="M9" s="129" t="s">
        <v>29</v>
      </c>
      <c r="N9" s="129" t="s">
        <v>29</v>
      </c>
      <c r="O9" s="158"/>
      <c r="P9" s="126" t="s">
        <v>30</v>
      </c>
      <c r="Q9" s="185" t="str">
        <f>'Wing Bank App'!Q12</f>
        <v>103634567</v>
      </c>
      <c r="R9" s="126" t="s">
        <v>31</v>
      </c>
      <c r="S9" s="126" t="s">
        <v>28</v>
      </c>
      <c r="T9" s="158"/>
      <c r="U9" s="148"/>
      <c r="V9" s="159" t="str">
        <f>'Wing Bank App'!Z12</f>
        <v>Passed</v>
      </c>
    </row>
    <row r="10" ht="59" customHeight="1" spans="1:22">
      <c r="A10" s="119">
        <v>9</v>
      </c>
      <c r="B10" s="120" t="s">
        <v>47</v>
      </c>
      <c r="C10" s="120"/>
      <c r="D10" s="174" t="s">
        <v>23</v>
      </c>
      <c r="E10" s="140" t="s">
        <v>48</v>
      </c>
      <c r="F10" s="124" t="s">
        <v>25</v>
      </c>
      <c r="G10" s="141" t="s">
        <v>48</v>
      </c>
      <c r="H10" s="133" t="s">
        <v>26</v>
      </c>
      <c r="I10" s="184" t="str">
        <f>'Wing Bank App'!I13</f>
        <v>07782087</v>
      </c>
      <c r="J10" s="133" t="s">
        <v>31</v>
      </c>
      <c r="K10" s="133" t="s">
        <v>32</v>
      </c>
      <c r="L10" s="128">
        <f>'Wing Bank App'!L13</f>
        <v>1</v>
      </c>
      <c r="M10" s="129" t="s">
        <v>29</v>
      </c>
      <c r="N10" s="129" t="s">
        <v>29</v>
      </c>
      <c r="O10" s="158"/>
      <c r="P10" s="133" t="s">
        <v>30</v>
      </c>
      <c r="Q10" s="185" t="str">
        <f>'Wing Bank App'!Q13</f>
        <v>103634533</v>
      </c>
      <c r="R10" s="133" t="s">
        <v>31</v>
      </c>
      <c r="S10" s="133" t="s">
        <v>32</v>
      </c>
      <c r="T10" s="177"/>
      <c r="U10" s="139"/>
      <c r="V10" s="159" t="str">
        <f>'Wing Bank App'!Z13</f>
        <v>Passed</v>
      </c>
    </row>
    <row r="11" ht="59" customHeight="1" spans="1:22">
      <c r="A11" s="119">
        <v>10</v>
      </c>
      <c r="B11" s="120" t="s">
        <v>49</v>
      </c>
      <c r="C11" s="120"/>
      <c r="D11" s="174" t="s">
        <v>23</v>
      </c>
      <c r="E11" s="140" t="s">
        <v>50</v>
      </c>
      <c r="F11" s="124" t="s">
        <v>25</v>
      </c>
      <c r="G11" s="141" t="s">
        <v>50</v>
      </c>
      <c r="H11" s="126" t="s">
        <v>26</v>
      </c>
      <c r="I11" s="184" t="str">
        <f>'Wing Bank App'!I14</f>
        <v>07782083</v>
      </c>
      <c r="J11" s="126" t="s">
        <v>27</v>
      </c>
      <c r="K11" s="126" t="s">
        <v>28</v>
      </c>
      <c r="L11" s="128">
        <f>'Wing Bank App'!L14</f>
        <v>4000</v>
      </c>
      <c r="M11" s="129" t="s">
        <v>29</v>
      </c>
      <c r="N11" s="129" t="s">
        <v>29</v>
      </c>
      <c r="O11" s="158"/>
      <c r="P11" s="126" t="s">
        <v>30</v>
      </c>
      <c r="Q11" s="185" t="str">
        <f>'Wing Bank App'!Q14</f>
        <v>103634567</v>
      </c>
      <c r="R11" s="126" t="s">
        <v>31</v>
      </c>
      <c r="S11" s="126" t="s">
        <v>28</v>
      </c>
      <c r="T11" s="177"/>
      <c r="U11" s="139"/>
      <c r="V11" s="159" t="str">
        <f>'Wing Bank App'!Z14</f>
        <v>Passed</v>
      </c>
    </row>
    <row r="12" ht="59" customHeight="1" spans="1:22">
      <c r="A12" s="119">
        <v>11</v>
      </c>
      <c r="B12" s="120" t="s">
        <v>51</v>
      </c>
      <c r="C12" s="120"/>
      <c r="D12" s="174" t="s">
        <v>23</v>
      </c>
      <c r="E12" s="140" t="s">
        <v>52</v>
      </c>
      <c r="F12" s="124" t="s">
        <v>25</v>
      </c>
      <c r="G12" s="141" t="s">
        <v>52</v>
      </c>
      <c r="H12" s="133" t="s">
        <v>30</v>
      </c>
      <c r="I12" s="184" t="str">
        <f>'Wing Bank App'!I15</f>
        <v>103634533</v>
      </c>
      <c r="J12" s="133" t="s">
        <v>31</v>
      </c>
      <c r="K12" s="133" t="s">
        <v>32</v>
      </c>
      <c r="L12" s="128">
        <f>'Wing Bank App'!L15</f>
        <v>1</v>
      </c>
      <c r="M12" s="129" t="s">
        <v>29</v>
      </c>
      <c r="N12" s="129" t="s">
        <v>29</v>
      </c>
      <c r="O12" s="158"/>
      <c r="P12" s="133" t="s">
        <v>26</v>
      </c>
      <c r="Q12" s="185" t="str">
        <f>'Wing Bank App'!Q15</f>
        <v>07782087</v>
      </c>
      <c r="R12" s="133" t="s">
        <v>27</v>
      </c>
      <c r="S12" s="131" t="s">
        <v>32</v>
      </c>
      <c r="T12" s="177"/>
      <c r="U12" s="139"/>
      <c r="V12" s="159" t="str">
        <f>'Wing Bank App'!Z15</f>
        <v>Passed</v>
      </c>
    </row>
    <row r="13" ht="59" customHeight="1" spans="1:22">
      <c r="A13" s="119">
        <v>12</v>
      </c>
      <c r="B13" s="120" t="s">
        <v>53</v>
      </c>
      <c r="C13" s="120"/>
      <c r="D13" s="174" t="s">
        <v>23</v>
      </c>
      <c r="E13" s="140" t="s">
        <v>54</v>
      </c>
      <c r="F13" s="124" t="s">
        <v>25</v>
      </c>
      <c r="G13" s="141" t="s">
        <v>54</v>
      </c>
      <c r="H13" s="126" t="s">
        <v>30</v>
      </c>
      <c r="I13" s="184" t="str">
        <f>'Wing Bank App'!I16</f>
        <v>103634567</v>
      </c>
      <c r="J13" s="126" t="s">
        <v>31</v>
      </c>
      <c r="K13" s="126" t="s">
        <v>28</v>
      </c>
      <c r="L13" s="128">
        <f>'Wing Bank App'!L16</f>
        <v>4000</v>
      </c>
      <c r="M13" s="129" t="s">
        <v>29</v>
      </c>
      <c r="N13" s="129" t="s">
        <v>29</v>
      </c>
      <c r="O13" s="158"/>
      <c r="P13" s="126" t="s">
        <v>26</v>
      </c>
      <c r="Q13" s="185" t="str">
        <f>'Wing Bank App'!Q16</f>
        <v>07782083</v>
      </c>
      <c r="R13" s="126" t="s">
        <v>27</v>
      </c>
      <c r="S13" s="126" t="s">
        <v>28</v>
      </c>
      <c r="T13" s="177"/>
      <c r="U13" s="139"/>
      <c r="V13" s="159" t="str">
        <f>'Wing Bank App'!Z16</f>
        <v>Passed</v>
      </c>
    </row>
    <row r="14" ht="59" customHeight="1" spans="1:22">
      <c r="A14" s="119">
        <v>13</v>
      </c>
      <c r="B14" s="120" t="s">
        <v>55</v>
      </c>
      <c r="C14" s="120"/>
      <c r="D14" s="174" t="s">
        <v>56</v>
      </c>
      <c r="E14" s="123" t="s">
        <v>57</v>
      </c>
      <c r="F14" s="124" t="s">
        <v>25</v>
      </c>
      <c r="G14" s="125" t="s">
        <v>57</v>
      </c>
      <c r="H14" s="133" t="s">
        <v>26</v>
      </c>
      <c r="I14" s="184" t="str">
        <f>'Wing Bank App'!I17</f>
        <v>07782087</v>
      </c>
      <c r="J14" s="131" t="s">
        <v>27</v>
      </c>
      <c r="K14" s="131" t="s">
        <v>32</v>
      </c>
      <c r="L14" s="128">
        <f>'Wing Bank App'!L17</f>
        <v>30</v>
      </c>
      <c r="M14" s="129" t="s">
        <v>58</v>
      </c>
      <c r="N14" s="129" t="s">
        <v>29</v>
      </c>
      <c r="O14" s="157"/>
      <c r="P14" s="133" t="s">
        <v>59</v>
      </c>
      <c r="Q14" s="185" t="str">
        <f>'Wing Bank App'!Q17</f>
        <v>077989682</v>
      </c>
      <c r="R14" s="131" t="s">
        <v>60</v>
      </c>
      <c r="S14" s="133" t="s">
        <v>60</v>
      </c>
      <c r="T14" s="177"/>
      <c r="U14" s="139"/>
      <c r="V14" s="159" t="str">
        <f>'Wing Bank App'!Z17</f>
        <v>Passed</v>
      </c>
    </row>
    <row r="15" ht="59" customHeight="1" spans="1:22">
      <c r="A15" s="119">
        <v>14</v>
      </c>
      <c r="B15" s="120" t="s">
        <v>61</v>
      </c>
      <c r="C15" s="120"/>
      <c r="D15" s="174" t="s">
        <v>56</v>
      </c>
      <c r="E15" s="123" t="s">
        <v>62</v>
      </c>
      <c r="F15" s="124" t="s">
        <v>25</v>
      </c>
      <c r="G15" s="125" t="s">
        <v>62</v>
      </c>
      <c r="H15" s="126" t="s">
        <v>30</v>
      </c>
      <c r="I15" s="184" t="str">
        <f>'Wing Bank App'!I18</f>
        <v>103634567</v>
      </c>
      <c r="J15" s="126" t="s">
        <v>31</v>
      </c>
      <c r="K15" s="126" t="s">
        <v>28</v>
      </c>
      <c r="L15" s="128">
        <f>'Wing Bank App'!L18</f>
        <v>120000</v>
      </c>
      <c r="M15" s="129" t="s">
        <v>63</v>
      </c>
      <c r="N15" s="129" t="s">
        <v>29</v>
      </c>
      <c r="O15" s="178"/>
      <c r="P15" s="133" t="s">
        <v>59</v>
      </c>
      <c r="Q15" s="185" t="str">
        <f>'Wing Bank App'!Q18</f>
        <v>077989682</v>
      </c>
      <c r="R15" s="131" t="s">
        <v>60</v>
      </c>
      <c r="S15" s="133" t="s">
        <v>60</v>
      </c>
      <c r="T15" s="177"/>
      <c r="U15" s="139"/>
      <c r="V15" s="159" t="str">
        <f>'Wing Bank App'!Z18</f>
        <v>Passed</v>
      </c>
    </row>
    <row r="16" ht="59" customHeight="1" spans="1:22">
      <c r="A16" s="119">
        <v>15</v>
      </c>
      <c r="B16" s="120" t="s">
        <v>64</v>
      </c>
      <c r="C16" s="120"/>
      <c r="D16" s="174" t="s">
        <v>56</v>
      </c>
      <c r="E16" s="123" t="s">
        <v>65</v>
      </c>
      <c r="F16" s="124" t="s">
        <v>25</v>
      </c>
      <c r="G16" s="125" t="s">
        <v>65</v>
      </c>
      <c r="H16" s="133" t="s">
        <v>30</v>
      </c>
      <c r="I16" s="184" t="str">
        <f>'Wing Bank App'!I19</f>
        <v>103634533</v>
      </c>
      <c r="J16" s="131" t="s">
        <v>31</v>
      </c>
      <c r="K16" s="131" t="s">
        <v>32</v>
      </c>
      <c r="L16" s="128">
        <f>'Wing Bank App'!L19</f>
        <v>30</v>
      </c>
      <c r="M16" s="129" t="s">
        <v>58</v>
      </c>
      <c r="N16" s="129" t="s">
        <v>29</v>
      </c>
      <c r="O16" s="157"/>
      <c r="P16" s="133" t="s">
        <v>59</v>
      </c>
      <c r="Q16" s="185" t="str">
        <f>'Wing Bank App'!Q19</f>
        <v>077989682</v>
      </c>
      <c r="R16" s="131" t="s">
        <v>60</v>
      </c>
      <c r="S16" s="133" t="s">
        <v>60</v>
      </c>
      <c r="T16" s="177"/>
      <c r="U16" s="139"/>
      <c r="V16" s="159" t="str">
        <f>'Wing Bank App'!Z19</f>
        <v>Passed</v>
      </c>
    </row>
    <row r="17" ht="59" customHeight="1" spans="1:22">
      <c r="A17" s="119">
        <v>16</v>
      </c>
      <c r="B17" s="120" t="s">
        <v>66</v>
      </c>
      <c r="C17" s="120"/>
      <c r="D17" s="174" t="s">
        <v>56</v>
      </c>
      <c r="E17" s="123" t="s">
        <v>67</v>
      </c>
      <c r="F17" s="124" t="s">
        <v>25</v>
      </c>
      <c r="G17" s="125" t="s">
        <v>67</v>
      </c>
      <c r="H17" s="126" t="s">
        <v>26</v>
      </c>
      <c r="I17" s="184" t="str">
        <f>'Wing Bank App'!I20</f>
        <v>07782083</v>
      </c>
      <c r="J17" s="126" t="s">
        <v>31</v>
      </c>
      <c r="K17" s="126" t="s">
        <v>28</v>
      </c>
      <c r="L17" s="128">
        <f>'Wing Bank App'!L20</f>
        <v>120000</v>
      </c>
      <c r="M17" s="129" t="s">
        <v>63</v>
      </c>
      <c r="N17" s="129" t="s">
        <v>29</v>
      </c>
      <c r="O17" s="178"/>
      <c r="P17" s="133" t="s">
        <v>59</v>
      </c>
      <c r="Q17" s="185" t="str">
        <f>'Wing Bank App'!Q20</f>
        <v>077989682</v>
      </c>
      <c r="R17" s="131" t="s">
        <v>60</v>
      </c>
      <c r="S17" s="133" t="s">
        <v>60</v>
      </c>
      <c r="T17" s="158"/>
      <c r="U17" s="148"/>
      <c r="V17" s="159" t="str">
        <f>'Wing Bank App'!Z20</f>
        <v>Passed</v>
      </c>
    </row>
    <row r="18" ht="59" customHeight="1" spans="1:22">
      <c r="A18" s="119">
        <v>17</v>
      </c>
      <c r="B18" s="120" t="s">
        <v>68</v>
      </c>
      <c r="C18" s="120"/>
      <c r="D18" s="174" t="s">
        <v>69</v>
      </c>
      <c r="E18" s="123" t="s">
        <v>70</v>
      </c>
      <c r="F18" s="124" t="s">
        <v>25</v>
      </c>
      <c r="G18" s="125" t="s">
        <v>70</v>
      </c>
      <c r="H18" s="133" t="s">
        <v>26</v>
      </c>
      <c r="I18" s="184" t="str">
        <f>'Wing Bank App'!I21</f>
        <v>07782087</v>
      </c>
      <c r="J18" s="131" t="s">
        <v>27</v>
      </c>
      <c r="K18" s="131" t="s">
        <v>32</v>
      </c>
      <c r="L18" s="128">
        <f>'Wing Bank App'!L21</f>
        <v>30</v>
      </c>
      <c r="M18" s="129" t="s">
        <v>29</v>
      </c>
      <c r="N18" s="129" t="s">
        <v>29</v>
      </c>
      <c r="O18" s="178"/>
      <c r="P18" s="126" t="s">
        <v>30</v>
      </c>
      <c r="Q18" s="185" t="str">
        <f>'Wing Bank App'!Q21</f>
        <v>103634567</v>
      </c>
      <c r="R18" s="126" t="s">
        <v>31</v>
      </c>
      <c r="S18" s="126" t="s">
        <v>28</v>
      </c>
      <c r="T18" s="177"/>
      <c r="U18" s="139"/>
      <c r="V18" s="159" t="str">
        <f>'Wing Bank App'!Z21</f>
        <v>Passed</v>
      </c>
    </row>
    <row r="19" ht="59" customHeight="1" spans="1:22">
      <c r="A19" s="119">
        <v>18</v>
      </c>
      <c r="B19" s="120" t="s">
        <v>71</v>
      </c>
      <c r="C19" s="120"/>
      <c r="D19" s="174" t="s">
        <v>69</v>
      </c>
      <c r="E19" s="123" t="s">
        <v>72</v>
      </c>
      <c r="F19" s="124" t="s">
        <v>25</v>
      </c>
      <c r="G19" s="125" t="s">
        <v>73</v>
      </c>
      <c r="H19" s="126" t="s">
        <v>30</v>
      </c>
      <c r="I19" s="184" t="str">
        <f>'Wing Bank App'!I22</f>
        <v>103634567</v>
      </c>
      <c r="J19" s="126" t="s">
        <v>31</v>
      </c>
      <c r="K19" s="126" t="s">
        <v>28</v>
      </c>
      <c r="L19" s="128">
        <f>'Wing Bank App'!L22</f>
        <v>120000</v>
      </c>
      <c r="M19" s="129" t="s">
        <v>29</v>
      </c>
      <c r="N19" s="129" t="s">
        <v>29</v>
      </c>
      <c r="O19" s="157"/>
      <c r="P19" s="133" t="s">
        <v>26</v>
      </c>
      <c r="Q19" s="185" t="str">
        <f>'Wing Bank App'!Q22</f>
        <v>07782087</v>
      </c>
      <c r="R19" s="133" t="s">
        <v>27</v>
      </c>
      <c r="S19" s="133" t="s">
        <v>32</v>
      </c>
      <c r="T19" s="158"/>
      <c r="U19" s="148"/>
      <c r="V19" s="159" t="str">
        <f>'Wing Bank App'!Z22</f>
        <v>Passed</v>
      </c>
    </row>
    <row r="20" ht="59" customHeight="1" spans="1:22">
      <c r="A20" s="119">
        <v>19</v>
      </c>
      <c r="B20" s="120" t="s">
        <v>74</v>
      </c>
      <c r="C20" s="120"/>
      <c r="D20" s="174" t="s">
        <v>69</v>
      </c>
      <c r="E20" s="123" t="s">
        <v>75</v>
      </c>
      <c r="F20" s="124" t="s">
        <v>25</v>
      </c>
      <c r="G20" s="125" t="s">
        <v>76</v>
      </c>
      <c r="H20" s="133" t="s">
        <v>30</v>
      </c>
      <c r="I20" s="184" t="str">
        <f>'Wing Bank App'!I23</f>
        <v>103634533</v>
      </c>
      <c r="J20" s="131" t="s">
        <v>31</v>
      </c>
      <c r="K20" s="131" t="s">
        <v>32</v>
      </c>
      <c r="L20" s="128">
        <f>'Wing Bank App'!L23</f>
        <v>30</v>
      </c>
      <c r="M20" s="129" t="s">
        <v>29</v>
      </c>
      <c r="N20" s="129" t="s">
        <v>29</v>
      </c>
      <c r="O20" s="178"/>
      <c r="P20" s="126" t="s">
        <v>26</v>
      </c>
      <c r="Q20" s="185" t="str">
        <f>'Wing Bank App'!Q23</f>
        <v>07782083</v>
      </c>
      <c r="R20" s="126" t="s">
        <v>27</v>
      </c>
      <c r="S20" s="126" t="s">
        <v>28</v>
      </c>
      <c r="T20" s="158"/>
      <c r="U20" s="148"/>
      <c r="V20" s="159" t="str">
        <f>'Wing Bank App'!Z23</f>
        <v>Passed</v>
      </c>
    </row>
    <row r="21" ht="59" customHeight="1" spans="1:22">
      <c r="A21" s="119">
        <v>20</v>
      </c>
      <c r="B21" s="120" t="s">
        <v>77</v>
      </c>
      <c r="C21" s="120"/>
      <c r="D21" s="174" t="s">
        <v>69</v>
      </c>
      <c r="E21" s="123" t="s">
        <v>78</v>
      </c>
      <c r="F21" s="124" t="s">
        <v>25</v>
      </c>
      <c r="G21" s="125" t="s">
        <v>79</v>
      </c>
      <c r="H21" s="126" t="s">
        <v>26</v>
      </c>
      <c r="I21" s="184" t="str">
        <f>'Wing Bank App'!I24</f>
        <v>07782083</v>
      </c>
      <c r="J21" s="126" t="s">
        <v>27</v>
      </c>
      <c r="K21" s="126" t="s">
        <v>28</v>
      </c>
      <c r="L21" s="128">
        <f>'Wing Bank App'!L24</f>
        <v>120000</v>
      </c>
      <c r="M21" s="129" t="s">
        <v>29</v>
      </c>
      <c r="N21" s="129" t="s">
        <v>29</v>
      </c>
      <c r="O21" s="157"/>
      <c r="P21" s="133" t="s">
        <v>30</v>
      </c>
      <c r="Q21" s="185" t="str">
        <f>'Wing Bank App'!Q24</f>
        <v>103634533</v>
      </c>
      <c r="R21" s="131" t="s">
        <v>31</v>
      </c>
      <c r="S21" s="133" t="s">
        <v>32</v>
      </c>
      <c r="T21" s="158"/>
      <c r="U21" s="148"/>
      <c r="V21" s="159" t="str">
        <f>'Wing Bank App'!Z24</f>
        <v>Passed</v>
      </c>
    </row>
    <row r="22" ht="59" customHeight="1" spans="1:22">
      <c r="A22" s="119">
        <v>21</v>
      </c>
      <c r="B22" s="120" t="s">
        <v>80</v>
      </c>
      <c r="C22" s="120"/>
      <c r="D22" s="174" t="s">
        <v>81</v>
      </c>
      <c r="E22" s="123" t="s">
        <v>82</v>
      </c>
      <c r="F22" s="124" t="s">
        <v>25</v>
      </c>
      <c r="G22" s="125" t="s">
        <v>82</v>
      </c>
      <c r="H22" s="133" t="s">
        <v>26</v>
      </c>
      <c r="I22" s="184" t="str">
        <f>'Wing Bank App'!I25</f>
        <v>07782087</v>
      </c>
      <c r="J22" s="131" t="s">
        <v>27</v>
      </c>
      <c r="K22" s="133" t="s">
        <v>32</v>
      </c>
      <c r="L22" s="157"/>
      <c r="M22" s="124" t="s">
        <v>29</v>
      </c>
      <c r="N22" s="129" t="s">
        <v>29</v>
      </c>
      <c r="O22" s="145">
        <f>'Wing Bank App'!O25</f>
        <v>1</v>
      </c>
      <c r="P22" s="133" t="s">
        <v>59</v>
      </c>
      <c r="Q22" s="185" t="str">
        <f>'Wing Bank App'!Q25</f>
        <v>098229845</v>
      </c>
      <c r="R22" s="133" t="s">
        <v>83</v>
      </c>
      <c r="S22" s="133" t="s">
        <v>32</v>
      </c>
      <c r="T22" s="158"/>
      <c r="U22" s="148"/>
      <c r="V22" s="159" t="str">
        <f>'Wing Bank App'!Z25</f>
        <v>Passed</v>
      </c>
    </row>
    <row r="23" ht="59" customHeight="1" spans="1:22">
      <c r="A23" s="119">
        <v>22</v>
      </c>
      <c r="B23" s="120" t="s">
        <v>84</v>
      </c>
      <c r="C23" s="120"/>
      <c r="D23" s="174" t="s">
        <v>81</v>
      </c>
      <c r="E23" s="123" t="s">
        <v>85</v>
      </c>
      <c r="F23" s="124" t="s">
        <v>25</v>
      </c>
      <c r="G23" s="125" t="s">
        <v>85</v>
      </c>
      <c r="H23" s="126" t="s">
        <v>30</v>
      </c>
      <c r="I23" s="184" t="str">
        <f>'Wing Bank App'!I26</f>
        <v>103634567</v>
      </c>
      <c r="J23" s="126" t="s">
        <v>31</v>
      </c>
      <c r="K23" s="126" t="s">
        <v>28</v>
      </c>
      <c r="L23" s="178"/>
      <c r="M23" s="129" t="s">
        <v>29</v>
      </c>
      <c r="N23" s="129" t="s">
        <v>29</v>
      </c>
      <c r="O23" s="145">
        <f>'Wing Bank App'!O26</f>
        <v>1</v>
      </c>
      <c r="P23" s="133" t="s">
        <v>59</v>
      </c>
      <c r="Q23" s="185" t="str">
        <f>'Wing Bank App'!Q26</f>
        <v>098229845</v>
      </c>
      <c r="R23" s="133" t="s">
        <v>83</v>
      </c>
      <c r="S23" s="133" t="s">
        <v>32</v>
      </c>
      <c r="T23" s="158"/>
      <c r="U23" s="148"/>
      <c r="V23" s="159" t="str">
        <f>'Wing Bank App'!Z26</f>
        <v>Passed</v>
      </c>
    </row>
    <row r="24" ht="59" customHeight="1" spans="1:22">
      <c r="A24" s="119">
        <v>23</v>
      </c>
      <c r="B24" s="120" t="s">
        <v>86</v>
      </c>
      <c r="C24" s="120"/>
      <c r="D24" s="174" t="s">
        <v>81</v>
      </c>
      <c r="E24" s="123" t="s">
        <v>87</v>
      </c>
      <c r="F24" s="124" t="s">
        <v>25</v>
      </c>
      <c r="G24" s="125" t="s">
        <v>87</v>
      </c>
      <c r="H24" s="133" t="s">
        <v>30</v>
      </c>
      <c r="I24" s="184" t="str">
        <f>'Wing Bank App'!I27</f>
        <v>103634533</v>
      </c>
      <c r="J24" s="131" t="s">
        <v>31</v>
      </c>
      <c r="K24" s="133" t="s">
        <v>32</v>
      </c>
      <c r="L24" s="157"/>
      <c r="M24" s="129" t="s">
        <v>29</v>
      </c>
      <c r="N24" s="129" t="s">
        <v>29</v>
      </c>
      <c r="O24" s="145">
        <f>'Wing Bank App'!O27</f>
        <v>1</v>
      </c>
      <c r="P24" s="133" t="s">
        <v>59</v>
      </c>
      <c r="Q24" s="185" t="str">
        <f>'Wing Bank App'!Q27</f>
        <v>078731099</v>
      </c>
      <c r="R24" s="133" t="s">
        <v>88</v>
      </c>
      <c r="S24" s="133" t="s">
        <v>32</v>
      </c>
      <c r="T24" s="158"/>
      <c r="U24" s="148"/>
      <c r="V24" s="159" t="str">
        <f>'Wing Bank App'!Z27</f>
        <v>Passed</v>
      </c>
    </row>
    <row r="25" ht="59" customHeight="1" spans="1:22">
      <c r="A25" s="119">
        <v>24</v>
      </c>
      <c r="B25" s="120" t="s">
        <v>89</v>
      </c>
      <c r="C25" s="120"/>
      <c r="D25" s="174" t="s">
        <v>90</v>
      </c>
      <c r="E25" s="123" t="s">
        <v>91</v>
      </c>
      <c r="F25" s="124" t="s">
        <v>25</v>
      </c>
      <c r="G25" s="125" t="s">
        <v>91</v>
      </c>
      <c r="H25" s="126" t="s">
        <v>26</v>
      </c>
      <c r="I25" s="184" t="str">
        <f>'Wing Bank App'!I28</f>
        <v>07782083</v>
      </c>
      <c r="J25" s="126" t="s">
        <v>27</v>
      </c>
      <c r="K25" s="126" t="s">
        <v>28</v>
      </c>
      <c r="L25" s="158"/>
      <c r="M25" s="124" t="s">
        <v>29</v>
      </c>
      <c r="N25" s="129" t="s">
        <v>29</v>
      </c>
      <c r="O25" s="145">
        <f>'Wing Bank App'!O28</f>
        <v>1</v>
      </c>
      <c r="P25" s="133" t="s">
        <v>92</v>
      </c>
      <c r="Q25" s="132" t="str">
        <f>'Wing Bank App'!Q28</f>
        <v>Smart</v>
      </c>
      <c r="R25" s="133" t="s">
        <v>60</v>
      </c>
      <c r="S25" s="133" t="s">
        <v>32</v>
      </c>
      <c r="T25" s="158"/>
      <c r="U25" s="148"/>
      <c r="V25" s="159" t="str">
        <f>'Wing Bank App'!Z28</f>
        <v>Passed</v>
      </c>
    </row>
    <row r="26" ht="59" customHeight="1" spans="1:22">
      <c r="A26" s="119">
        <v>25</v>
      </c>
      <c r="B26" s="120" t="s">
        <v>93</v>
      </c>
      <c r="C26" s="120"/>
      <c r="D26" s="174" t="s">
        <v>90</v>
      </c>
      <c r="E26" s="123" t="s">
        <v>94</v>
      </c>
      <c r="F26" s="124" t="s">
        <v>25</v>
      </c>
      <c r="G26" s="125" t="s">
        <v>94</v>
      </c>
      <c r="H26" s="133" t="s">
        <v>30</v>
      </c>
      <c r="I26" s="184" t="str">
        <f>'Wing Bank App'!I29</f>
        <v>103634533</v>
      </c>
      <c r="J26" s="131" t="s">
        <v>31</v>
      </c>
      <c r="K26" s="131" t="s">
        <v>32</v>
      </c>
      <c r="L26" s="157"/>
      <c r="M26" s="129" t="s">
        <v>29</v>
      </c>
      <c r="N26" s="129" t="s">
        <v>29</v>
      </c>
      <c r="O26" s="145">
        <f>'Wing Bank App'!O29</f>
        <v>1</v>
      </c>
      <c r="P26" s="133" t="s">
        <v>92</v>
      </c>
      <c r="Q26" s="132" t="str">
        <f>'Wing Bank App'!Q29</f>
        <v>Cellcard</v>
      </c>
      <c r="R26" s="133" t="s">
        <v>60</v>
      </c>
      <c r="S26" s="133" t="s">
        <v>32</v>
      </c>
      <c r="T26" s="158"/>
      <c r="U26" s="148"/>
      <c r="V26" s="159" t="str">
        <f>'Wing Bank App'!Z29</f>
        <v>Passed</v>
      </c>
    </row>
    <row r="27" ht="59" customHeight="1" spans="1:22">
      <c r="A27" s="119">
        <v>26</v>
      </c>
      <c r="B27" s="120" t="s">
        <v>95</v>
      </c>
      <c r="C27" s="120"/>
      <c r="D27" s="174" t="s">
        <v>96</v>
      </c>
      <c r="E27" s="123" t="s">
        <v>97</v>
      </c>
      <c r="F27" s="124" t="s">
        <v>25</v>
      </c>
      <c r="G27" s="125" t="s">
        <v>97</v>
      </c>
      <c r="H27" s="126" t="s">
        <v>26</v>
      </c>
      <c r="I27" s="184" t="str">
        <f>'Wing Bank App'!I30</f>
        <v>07782083</v>
      </c>
      <c r="J27" s="126" t="s">
        <v>27</v>
      </c>
      <c r="K27" s="126" t="s">
        <v>28</v>
      </c>
      <c r="L27" s="179"/>
      <c r="M27" s="129" t="s">
        <v>29</v>
      </c>
      <c r="N27" s="129" t="s">
        <v>29</v>
      </c>
      <c r="O27" s="145">
        <f>'Wing Bank App'!O30</f>
        <v>30</v>
      </c>
      <c r="P27" s="133" t="s">
        <v>98</v>
      </c>
      <c r="Q27" s="185" t="str">
        <f>'Wing Bank App'!Q30</f>
        <v>00020101021229450016abaakhppxxx@abaa01090044268570208ABA Bank40390006abaP2P011259D64CDECE0F02090044268575204000053038405402305802KH5909RORN MONY6010Phnom Penh993400131776671446325011318082074463256304E369</v>
      </c>
      <c r="R27" s="133" t="s">
        <v>99</v>
      </c>
      <c r="S27" s="133" t="s">
        <v>32</v>
      </c>
      <c r="T27" s="158"/>
      <c r="U27" s="148"/>
      <c r="V27" s="159" t="str">
        <f>'Wing Bank App'!Z30</f>
        <v>Passed</v>
      </c>
    </row>
    <row r="28" ht="59" customHeight="1" spans="1:22">
      <c r="A28" s="119">
        <v>27</v>
      </c>
      <c r="B28" s="120" t="s">
        <v>100</v>
      </c>
      <c r="C28" s="120"/>
      <c r="D28" s="174" t="s">
        <v>96</v>
      </c>
      <c r="E28" s="123" t="s">
        <v>101</v>
      </c>
      <c r="F28" s="124" t="s">
        <v>25</v>
      </c>
      <c r="G28" s="125" t="s">
        <v>101</v>
      </c>
      <c r="H28" s="133" t="s">
        <v>30</v>
      </c>
      <c r="I28" s="184" t="str">
        <f>'Wing Bank App'!I31</f>
        <v>103634533</v>
      </c>
      <c r="J28" s="131" t="s">
        <v>31</v>
      </c>
      <c r="K28" s="131" t="s">
        <v>32</v>
      </c>
      <c r="L28" s="157"/>
      <c r="M28" s="129" t="s">
        <v>29</v>
      </c>
      <c r="N28" s="129" t="s">
        <v>29</v>
      </c>
      <c r="O28" s="145">
        <f>'Wing Bank App'!O31</f>
        <v>120000</v>
      </c>
      <c r="P28" s="126" t="s">
        <v>98</v>
      </c>
      <c r="Q28" s="185" t="str">
        <f>'Wing Bank App'!Q31</f>
        <v>00020101021229450016abaakhppxxx@abaa01096009011050208ABA Bank40390006abaP2P011259D64CDECE0F020960090110552040000530311654061200005802KH5909RORN MONY6010Phnom Penh9934001317766714861950113180820748619563041F76</v>
      </c>
      <c r="R28" s="126" t="s">
        <v>99</v>
      </c>
      <c r="S28" s="126" t="s">
        <v>28</v>
      </c>
      <c r="T28" s="158"/>
      <c r="U28" s="148"/>
      <c r="V28" s="159" t="str">
        <f>'Wing Bank App'!Z31</f>
        <v>Passed</v>
      </c>
    </row>
    <row r="29" ht="59" customHeight="1" spans="1:22">
      <c r="A29" s="119">
        <v>28</v>
      </c>
      <c r="B29" s="120" t="s">
        <v>102</v>
      </c>
      <c r="C29" s="120"/>
      <c r="D29" s="174" t="s">
        <v>103</v>
      </c>
      <c r="E29" s="140" t="s">
        <v>104</v>
      </c>
      <c r="F29" s="150" t="s">
        <v>25</v>
      </c>
      <c r="G29" s="141" t="s">
        <v>104</v>
      </c>
      <c r="H29" s="126" t="s">
        <v>26</v>
      </c>
      <c r="I29" s="184" t="str">
        <f>'Wing Bank App'!I32</f>
        <v>07782083</v>
      </c>
      <c r="J29" s="126" t="s">
        <v>27</v>
      </c>
      <c r="K29" s="126" t="s">
        <v>28</v>
      </c>
      <c r="L29" s="179"/>
      <c r="M29" s="129" t="s">
        <v>29</v>
      </c>
      <c r="N29" s="129" t="s">
        <v>29</v>
      </c>
      <c r="O29" s="145">
        <f>'Wing Bank App'!O32</f>
        <v>30</v>
      </c>
      <c r="P29" s="133" t="s">
        <v>105</v>
      </c>
      <c r="Q29" s="132" t="str">
        <f>'Wing Bank App'!Q32</f>
        <v>00020101021130510014wing_khqr@wing01065331350207WINGPAY0308MERCHANT5204721153038405802KH5923PMOTest Youhai Ren Shop6010Phnom Penh6105120006304B296</v>
      </c>
      <c r="R29" s="131" t="s">
        <v>106</v>
      </c>
      <c r="S29" s="133" t="s">
        <v>32</v>
      </c>
      <c r="T29" s="177"/>
      <c r="U29" s="139"/>
      <c r="V29" s="159" t="str">
        <f>'Wing Bank App'!Z32</f>
        <v>Passed</v>
      </c>
    </row>
    <row r="30" ht="59" customHeight="1" spans="1:22">
      <c r="A30" s="119">
        <v>29</v>
      </c>
      <c r="B30" s="120" t="s">
        <v>107</v>
      </c>
      <c r="C30" s="120"/>
      <c r="D30" s="174" t="s">
        <v>103</v>
      </c>
      <c r="E30" s="140" t="s">
        <v>108</v>
      </c>
      <c r="F30" s="150" t="s">
        <v>25</v>
      </c>
      <c r="G30" s="141" t="s">
        <v>108</v>
      </c>
      <c r="H30" s="133" t="s">
        <v>26</v>
      </c>
      <c r="I30" s="184" t="str">
        <f>'Wing Bank App'!I33</f>
        <v>07782087</v>
      </c>
      <c r="J30" s="131" t="s">
        <v>27</v>
      </c>
      <c r="K30" s="133" t="s">
        <v>32</v>
      </c>
      <c r="L30" s="157"/>
      <c r="M30" s="129" t="s">
        <v>109</v>
      </c>
      <c r="N30" s="129" t="s">
        <v>29</v>
      </c>
      <c r="O30" s="145">
        <f>'Wing Bank App'!O33</f>
        <v>120000</v>
      </c>
      <c r="P30" s="126" t="s">
        <v>110</v>
      </c>
      <c r="Q30" s="132" t="str">
        <f>'Wing Bank App'!Q33</f>
        <v>00020101021130420014wing_khqr@wing01090001342930207WINGPAY5204599953031165802KH5919PMOTEST HAI CAR SOP6010Phnom Penh624401062571730211855959890720715FCCMPY00035927863047A8A</v>
      </c>
      <c r="R30" s="126" t="s">
        <v>111</v>
      </c>
      <c r="S30" s="126" t="s">
        <v>28</v>
      </c>
      <c r="T30" s="158"/>
      <c r="U30" s="148"/>
      <c r="V30" s="159" t="str">
        <f>'Wing Bank App'!Z33</f>
        <v>Passed</v>
      </c>
    </row>
    <row r="31" ht="59" customHeight="1" spans="1:22">
      <c r="A31" s="119">
        <v>30</v>
      </c>
      <c r="B31" s="120" t="s">
        <v>112</v>
      </c>
      <c r="C31" s="120"/>
      <c r="D31" s="174" t="s">
        <v>103</v>
      </c>
      <c r="E31" s="140" t="s">
        <v>113</v>
      </c>
      <c r="F31" s="150" t="s">
        <v>25</v>
      </c>
      <c r="G31" s="141" t="s">
        <v>113</v>
      </c>
      <c r="H31" s="126" t="s">
        <v>26</v>
      </c>
      <c r="I31" s="184" t="str">
        <f>'Wing Bank App'!I34</f>
        <v>07782083</v>
      </c>
      <c r="J31" s="126" t="s">
        <v>27</v>
      </c>
      <c r="K31" s="126" t="s">
        <v>28</v>
      </c>
      <c r="L31" s="179"/>
      <c r="M31" s="129" t="s">
        <v>29</v>
      </c>
      <c r="N31" s="129" t="s">
        <v>29</v>
      </c>
      <c r="O31" s="145">
        <f>'Wing Bank App'!O34</f>
        <v>30</v>
      </c>
      <c r="P31" s="133" t="s">
        <v>110</v>
      </c>
      <c r="Q31" s="132" t="str">
        <f>'Wing Bank App'!Q34</f>
        <v>00020101021130420014wing_khqr@wing01090001342930207WINGPAY5204599953031165802KH5919PMOTEST HAI CAR SOP6010Phnom Penh624401062571730211855959890720715FCCMPY00035927863047A8A</v>
      </c>
      <c r="R31" s="133" t="s">
        <v>114</v>
      </c>
      <c r="S31" s="133" t="s">
        <v>32</v>
      </c>
      <c r="T31" s="158"/>
      <c r="U31" s="148"/>
      <c r="V31" s="159" t="str">
        <f>'Wing Bank App'!Z34</f>
        <v>Passed</v>
      </c>
    </row>
    <row r="32" ht="59" customHeight="1" spans="1:22">
      <c r="A32" s="119">
        <v>31</v>
      </c>
      <c r="B32" s="120" t="s">
        <v>115</v>
      </c>
      <c r="C32" s="120"/>
      <c r="D32" s="174" t="s">
        <v>103</v>
      </c>
      <c r="E32" s="140" t="s">
        <v>116</v>
      </c>
      <c r="F32" s="150" t="s">
        <v>25</v>
      </c>
      <c r="G32" s="141" t="s">
        <v>116</v>
      </c>
      <c r="H32" s="126" t="s">
        <v>30</v>
      </c>
      <c r="I32" s="184" t="str">
        <f>'Wing Bank App'!I35</f>
        <v>103634567</v>
      </c>
      <c r="J32" s="126" t="s">
        <v>31</v>
      </c>
      <c r="K32" s="126" t="s">
        <v>28</v>
      </c>
      <c r="L32" s="179"/>
      <c r="M32" s="129" t="s">
        <v>29</v>
      </c>
      <c r="N32" s="129" t="s">
        <v>29</v>
      </c>
      <c r="O32" s="145">
        <f>'Wing Bank App'!O35</f>
        <v>30</v>
      </c>
      <c r="P32" s="133" t="s">
        <v>105</v>
      </c>
      <c r="Q32" s="132" t="str">
        <f>'Wing Bank App'!Q35</f>
        <v>00020101021130510014wing_khqr@wing01065331350207WINGPAY0308MERCHANT5204721153038405802KH5923PMOTest Youhai Ren Shop6010Phnom Penh6105120006304B296</v>
      </c>
      <c r="R32" s="131" t="s">
        <v>106</v>
      </c>
      <c r="S32" s="133" t="s">
        <v>32</v>
      </c>
      <c r="T32" s="158"/>
      <c r="U32" s="148"/>
      <c r="V32" s="159" t="str">
        <f>'Wing Bank App'!Z35</f>
        <v>Passed</v>
      </c>
    </row>
    <row r="33" ht="59" customHeight="1" spans="1:22">
      <c r="A33" s="119">
        <v>32</v>
      </c>
      <c r="B33" s="120" t="s">
        <v>117</v>
      </c>
      <c r="C33" s="120"/>
      <c r="D33" s="174" t="s">
        <v>103</v>
      </c>
      <c r="E33" s="140" t="s">
        <v>118</v>
      </c>
      <c r="F33" s="150" t="s">
        <v>25</v>
      </c>
      <c r="G33" s="141" t="s">
        <v>118</v>
      </c>
      <c r="H33" s="133" t="s">
        <v>30</v>
      </c>
      <c r="I33" s="184" t="str">
        <f>'Wing Bank App'!I36</f>
        <v>103634533</v>
      </c>
      <c r="J33" s="131" t="s">
        <v>31</v>
      </c>
      <c r="K33" s="133" t="s">
        <v>32</v>
      </c>
      <c r="L33" s="157"/>
      <c r="M33" s="129" t="s">
        <v>109</v>
      </c>
      <c r="N33" s="129" t="s">
        <v>29</v>
      </c>
      <c r="O33" s="145">
        <f>'Wing Bank App'!O36</f>
        <v>120000</v>
      </c>
      <c r="P33" s="126" t="s">
        <v>110</v>
      </c>
      <c r="Q33" s="132" t="str">
        <f>'Wing Bank App'!Q36</f>
        <v>00020101021130420014wing_khqr@wing01090001342930207WINGPAY5204599953031165802KH5919PMOTEST HAI CAR SOP6010Phnom Penh624401062571730211855959890720715FCCMPY00035927863047A8A</v>
      </c>
      <c r="R33" s="126" t="s">
        <v>111</v>
      </c>
      <c r="S33" s="126" t="s">
        <v>28</v>
      </c>
      <c r="T33" s="158"/>
      <c r="U33" s="148"/>
      <c r="V33" s="159" t="str">
        <f>'Wing Bank App'!Z36</f>
        <v>Passed</v>
      </c>
    </row>
    <row r="34" ht="59" customHeight="1" spans="1:22">
      <c r="A34" s="119">
        <v>33</v>
      </c>
      <c r="B34" s="120" t="s">
        <v>119</v>
      </c>
      <c r="C34" s="120"/>
      <c r="D34" s="174" t="s">
        <v>103</v>
      </c>
      <c r="E34" s="140" t="s">
        <v>120</v>
      </c>
      <c r="F34" s="150" t="s">
        <v>25</v>
      </c>
      <c r="G34" s="141" t="s">
        <v>120</v>
      </c>
      <c r="H34" s="133" t="s">
        <v>30</v>
      </c>
      <c r="I34" s="184" t="str">
        <f>'Wing Bank App'!I37</f>
        <v>103634533</v>
      </c>
      <c r="J34" s="131" t="s">
        <v>31</v>
      </c>
      <c r="K34" s="133" t="s">
        <v>32</v>
      </c>
      <c r="L34" s="157"/>
      <c r="M34" s="129" t="s">
        <v>29</v>
      </c>
      <c r="N34" s="129" t="s">
        <v>29</v>
      </c>
      <c r="O34" s="145">
        <f>'Wing Bank App'!O37</f>
        <v>120000</v>
      </c>
      <c r="P34" s="126" t="s">
        <v>105</v>
      </c>
      <c r="Q34" s="132" t="str">
        <f>'Wing Bank App'!Q37</f>
        <v>00020101021130510014wing_khqr@wing01065331340207WINGPAY0308MERCHANT5204721153031165802KH5923PMOTest Youhai Ren Shop6010Phnom Penh6105120006304D37B</v>
      </c>
      <c r="R34" s="126" t="s">
        <v>106</v>
      </c>
      <c r="S34" s="126" t="s">
        <v>28</v>
      </c>
      <c r="T34" s="158"/>
      <c r="U34" s="148"/>
      <c r="V34" s="159" t="str">
        <f>'Wing Bank App'!Z37</f>
        <v>Passed</v>
      </c>
    </row>
    <row r="35" ht="59" customHeight="1" spans="1:22">
      <c r="A35" s="119">
        <v>34</v>
      </c>
      <c r="B35" s="120" t="s">
        <v>121</v>
      </c>
      <c r="C35" s="120"/>
      <c r="D35" s="174" t="s">
        <v>122</v>
      </c>
      <c r="E35" s="123" t="s">
        <v>123</v>
      </c>
      <c r="F35" s="124" t="s">
        <v>25</v>
      </c>
      <c r="G35" s="125" t="s">
        <v>124</v>
      </c>
      <c r="H35" s="126" t="s">
        <v>30</v>
      </c>
      <c r="I35" s="184" t="str">
        <f>'Wing Bank App'!I38</f>
        <v>103634567</v>
      </c>
      <c r="J35" s="126" t="s">
        <v>31</v>
      </c>
      <c r="K35" s="126" t="s">
        <v>28</v>
      </c>
      <c r="L35" s="179"/>
      <c r="M35" s="129" t="s">
        <v>29</v>
      </c>
      <c r="N35" s="129" t="s">
        <v>29</v>
      </c>
      <c r="O35" s="145">
        <f>'Wing Bank App'!O38</f>
        <v>30</v>
      </c>
      <c r="P35" s="133" t="s">
        <v>125</v>
      </c>
      <c r="Q35" s="185" t="str">
        <f>'Wing Bank App'!Q38</f>
        <v>00020101021130510016abaakhppxxx@abaa01151260202084127730208ABA Bank5204597753038405802KH5909RORN MONY6010PHNOM PENH624268380010PAYWAY@ABA01071609752020903211772563048B49</v>
      </c>
      <c r="R35" s="133" t="s">
        <v>126</v>
      </c>
      <c r="S35" s="133" t="s">
        <v>32</v>
      </c>
      <c r="T35" s="158"/>
      <c r="U35" s="148"/>
      <c r="V35" s="159" t="str">
        <f>'Wing Bank App'!Z38</f>
        <v>Passed</v>
      </c>
    </row>
    <row r="36" ht="59" customHeight="1" spans="1:22">
      <c r="A36" s="119">
        <v>35</v>
      </c>
      <c r="B36" s="120" t="s">
        <v>127</v>
      </c>
      <c r="C36" s="120"/>
      <c r="D36" s="174" t="s">
        <v>122</v>
      </c>
      <c r="E36" s="123" t="s">
        <v>128</v>
      </c>
      <c r="F36" s="124" t="s">
        <v>25</v>
      </c>
      <c r="G36" s="125" t="s">
        <v>129</v>
      </c>
      <c r="H36" s="133" t="s">
        <v>26</v>
      </c>
      <c r="I36" s="184" t="str">
        <f>'Wing Bank App'!I39</f>
        <v>07782087</v>
      </c>
      <c r="J36" s="131" t="s">
        <v>27</v>
      </c>
      <c r="K36" s="133" t="s">
        <v>32</v>
      </c>
      <c r="L36" s="157"/>
      <c r="M36" s="129" t="s">
        <v>29</v>
      </c>
      <c r="N36" s="129" t="s">
        <v>29</v>
      </c>
      <c r="O36" s="145">
        <f>'Wing Bank App'!O39</f>
        <v>120000</v>
      </c>
      <c r="P36" s="126" t="s">
        <v>125</v>
      </c>
      <c r="Q36" s="185" t="str">
        <f>'Wing Bank App'!Q39</f>
        <v>00020101021130510016abaakhppxxx@abaa01151260202084127730208ABA Bank5204597753031165802KH5909RORN MONY6010PHNOM PENH624268380010PAYWAY@ABA01071609752020903211772563049D7B</v>
      </c>
      <c r="R36" s="126" t="s">
        <v>126</v>
      </c>
      <c r="S36" s="126" t="s">
        <v>28</v>
      </c>
      <c r="T36" s="158"/>
      <c r="U36" s="148"/>
      <c r="V36" s="159" t="str">
        <f>'Wing Bank App'!Z39</f>
        <v>Passed</v>
      </c>
    </row>
    <row r="37" ht="59" customHeight="1" spans="1:22">
      <c r="A37" s="119">
        <v>36</v>
      </c>
      <c r="B37" s="120" t="s">
        <v>130</v>
      </c>
      <c r="C37" s="120"/>
      <c r="D37" s="174" t="s">
        <v>131</v>
      </c>
      <c r="E37" s="123" t="s">
        <v>132</v>
      </c>
      <c r="F37" s="124" t="s">
        <v>25</v>
      </c>
      <c r="G37" s="125" t="s">
        <v>132</v>
      </c>
      <c r="H37" s="133" t="s">
        <v>26</v>
      </c>
      <c r="I37" s="184" t="str">
        <f>'Wing Bank App'!I40</f>
        <v>07782087</v>
      </c>
      <c r="J37" s="131" t="s">
        <v>27</v>
      </c>
      <c r="K37" s="133" t="s">
        <v>32</v>
      </c>
      <c r="L37" s="157"/>
      <c r="M37" s="129" t="s">
        <v>29</v>
      </c>
      <c r="N37" s="129" t="s">
        <v>29</v>
      </c>
      <c r="O37" s="145">
        <f>'Wing Bank App'!O40</f>
        <v>1000</v>
      </c>
      <c r="P37" s="126" t="s">
        <v>133</v>
      </c>
      <c r="Q37" s="132">
        <f>'Wing Bank App'!Q40</f>
        <v>94132110</v>
      </c>
      <c r="R37" s="126" t="s">
        <v>133</v>
      </c>
      <c r="S37" s="126" t="s">
        <v>28</v>
      </c>
      <c r="T37" s="158"/>
      <c r="U37" s="148"/>
      <c r="V37" s="159" t="str">
        <f>'Wing Bank App'!Z40</f>
        <v>Passed</v>
      </c>
    </row>
    <row r="38" ht="59" customHeight="1" spans="1:22">
      <c r="A38" s="119">
        <v>37</v>
      </c>
      <c r="B38" s="120" t="s">
        <v>134</v>
      </c>
      <c r="C38" s="120"/>
      <c r="D38" s="174" t="s">
        <v>131</v>
      </c>
      <c r="E38" s="123" t="s">
        <v>135</v>
      </c>
      <c r="F38" s="124" t="s">
        <v>25</v>
      </c>
      <c r="G38" s="125" t="s">
        <v>135</v>
      </c>
      <c r="H38" s="133" t="s">
        <v>30</v>
      </c>
      <c r="I38" s="184" t="str">
        <f>'Wing Bank App'!I41</f>
        <v>103634533</v>
      </c>
      <c r="J38" s="131" t="s">
        <v>31</v>
      </c>
      <c r="K38" s="133" t="s">
        <v>32</v>
      </c>
      <c r="L38" s="157"/>
      <c r="M38" s="129" t="s">
        <v>29</v>
      </c>
      <c r="N38" s="129" t="s">
        <v>29</v>
      </c>
      <c r="O38" s="145">
        <f>'Wing Bank App'!O41</f>
        <v>1000</v>
      </c>
      <c r="P38" s="126" t="s">
        <v>133</v>
      </c>
      <c r="Q38" s="132">
        <f>'Wing Bank App'!Q41</f>
        <v>94132110</v>
      </c>
      <c r="R38" s="126" t="s">
        <v>133</v>
      </c>
      <c r="S38" s="126" t="s">
        <v>28</v>
      </c>
      <c r="T38" s="158"/>
      <c r="U38" s="148"/>
      <c r="V38" s="159" t="str">
        <f>'Wing Bank App'!Z41</f>
        <v>Passed</v>
      </c>
    </row>
    <row r="39" ht="59" customHeight="1" spans="1:22">
      <c r="A39" s="119">
        <v>38</v>
      </c>
      <c r="B39" s="120" t="s">
        <v>136</v>
      </c>
      <c r="C39" s="120"/>
      <c r="D39" s="174" t="s">
        <v>137</v>
      </c>
      <c r="E39" s="123" t="s">
        <v>138</v>
      </c>
      <c r="F39" s="124" t="s">
        <v>25</v>
      </c>
      <c r="G39" s="125" t="s">
        <v>138</v>
      </c>
      <c r="H39" s="133" t="s">
        <v>26</v>
      </c>
      <c r="I39" s="184" t="str">
        <f>'Wing Bank App'!I42</f>
        <v>07782087</v>
      </c>
      <c r="J39" s="131" t="s">
        <v>27</v>
      </c>
      <c r="K39" s="133" t="s">
        <v>32</v>
      </c>
      <c r="L39" s="157"/>
      <c r="M39" s="129" t="s">
        <v>29</v>
      </c>
      <c r="N39" s="129" t="s">
        <v>29</v>
      </c>
      <c r="O39" s="145">
        <f>'Wing Bank App'!O42</f>
        <v>1</v>
      </c>
      <c r="P39" s="133" t="s">
        <v>139</v>
      </c>
      <c r="Q39" s="185" t="str">
        <f>'Wing Bank App'!Q42</f>
        <v>004426857</v>
      </c>
      <c r="R39" s="133" t="s">
        <v>140</v>
      </c>
      <c r="S39" s="133" t="s">
        <v>32</v>
      </c>
      <c r="T39" s="158"/>
      <c r="U39" s="148"/>
      <c r="V39" s="159" t="str">
        <f>'Wing Bank App'!Z42</f>
        <v>Passed</v>
      </c>
    </row>
    <row r="40" ht="59" customHeight="1" spans="1:22">
      <c r="A40" s="119">
        <v>39</v>
      </c>
      <c r="B40" s="120" t="s">
        <v>141</v>
      </c>
      <c r="C40" s="120"/>
      <c r="D40" s="174" t="s">
        <v>137</v>
      </c>
      <c r="E40" s="123" t="s">
        <v>142</v>
      </c>
      <c r="F40" s="124" t="s">
        <v>25</v>
      </c>
      <c r="G40" s="125" t="s">
        <v>142</v>
      </c>
      <c r="H40" s="126" t="s">
        <v>30</v>
      </c>
      <c r="I40" s="184" t="str">
        <f>'Wing Bank App'!I43</f>
        <v>103634567</v>
      </c>
      <c r="J40" s="126" t="s">
        <v>31</v>
      </c>
      <c r="K40" s="126" t="s">
        <v>28</v>
      </c>
      <c r="L40" s="158"/>
      <c r="M40" s="129" t="s">
        <v>29</v>
      </c>
      <c r="N40" s="129" t="s">
        <v>29</v>
      </c>
      <c r="O40" s="145">
        <f>'Wing Bank App'!O43</f>
        <v>30</v>
      </c>
      <c r="P40" s="133" t="s">
        <v>139</v>
      </c>
      <c r="Q40" s="185" t="str">
        <f>'Wing Bank App'!Q43</f>
        <v>004426857</v>
      </c>
      <c r="R40" s="133" t="s">
        <v>140</v>
      </c>
      <c r="S40" s="133" t="s">
        <v>32</v>
      </c>
      <c r="T40" s="158"/>
      <c r="U40" s="148"/>
      <c r="V40" s="159" t="str">
        <f>'Wing Bank App'!Z43</f>
        <v>Passed</v>
      </c>
    </row>
    <row r="41" ht="59" customHeight="1" spans="1:22">
      <c r="A41" s="119">
        <v>40</v>
      </c>
      <c r="B41" s="120" t="s">
        <v>143</v>
      </c>
      <c r="C41" s="120"/>
      <c r="D41" s="174" t="s">
        <v>144</v>
      </c>
      <c r="E41" s="123" t="s">
        <v>145</v>
      </c>
      <c r="F41" s="124" t="s">
        <v>25</v>
      </c>
      <c r="G41" s="125" t="s">
        <v>146</v>
      </c>
      <c r="H41" s="133" t="s">
        <v>26</v>
      </c>
      <c r="I41" s="184" t="str">
        <f>'Wing Bank App'!I44</f>
        <v>07782087</v>
      </c>
      <c r="J41" s="131" t="s">
        <v>27</v>
      </c>
      <c r="K41" s="133" t="s">
        <v>32</v>
      </c>
      <c r="L41" s="157"/>
      <c r="M41" s="129" t="s">
        <v>29</v>
      </c>
      <c r="N41" s="129" t="s">
        <v>29</v>
      </c>
      <c r="O41" s="145">
        <f>'Wing Bank App'!O44</f>
        <v>1000</v>
      </c>
      <c r="P41" s="126" t="s">
        <v>147</v>
      </c>
      <c r="Q41" s="185" t="str">
        <f>'Wing Bank App'!Q44</f>
        <v>086938457</v>
      </c>
      <c r="R41" s="126" t="s">
        <v>147</v>
      </c>
      <c r="S41" s="126" t="s">
        <v>28</v>
      </c>
      <c r="T41" s="158"/>
      <c r="U41" s="148"/>
      <c r="V41" s="159" t="str">
        <f>'Wing Bank App'!Z44</f>
        <v>Passed</v>
      </c>
    </row>
    <row r="42" ht="59" customHeight="1" spans="1:22">
      <c r="A42" s="119">
        <v>41</v>
      </c>
      <c r="B42" s="120" t="s">
        <v>148</v>
      </c>
      <c r="C42" s="120"/>
      <c r="D42" s="174" t="s">
        <v>144</v>
      </c>
      <c r="E42" s="123" t="s">
        <v>149</v>
      </c>
      <c r="F42" s="124" t="s">
        <v>25</v>
      </c>
      <c r="G42" s="125" t="s">
        <v>149</v>
      </c>
      <c r="H42" s="133" t="s">
        <v>30</v>
      </c>
      <c r="I42" s="184" t="str">
        <f>'Wing Bank App'!I45</f>
        <v>103634533</v>
      </c>
      <c r="J42" s="131" t="s">
        <v>31</v>
      </c>
      <c r="K42" s="133" t="s">
        <v>32</v>
      </c>
      <c r="L42" s="157"/>
      <c r="M42" s="129" t="s">
        <v>29</v>
      </c>
      <c r="N42" s="129" t="s">
        <v>29</v>
      </c>
      <c r="O42" s="145">
        <f>'Wing Bank App'!O45</f>
        <v>1000</v>
      </c>
      <c r="P42" s="126" t="s">
        <v>147</v>
      </c>
      <c r="Q42" s="185" t="str">
        <f>'Wing Bank App'!Q45</f>
        <v>086938457</v>
      </c>
      <c r="R42" s="126" t="s">
        <v>147</v>
      </c>
      <c r="S42" s="126" t="s">
        <v>28</v>
      </c>
      <c r="T42" s="158"/>
      <c r="U42" s="148"/>
      <c r="V42" s="159" t="str">
        <f>'Wing Bank App'!Z45</f>
        <v>Passed</v>
      </c>
    </row>
    <row r="43" ht="59" customHeight="1" spans="1:22">
      <c r="A43" s="119">
        <v>42</v>
      </c>
      <c r="B43" s="120" t="s">
        <v>150</v>
      </c>
      <c r="C43" s="120"/>
      <c r="D43" s="174" t="s">
        <v>151</v>
      </c>
      <c r="E43" s="153" t="s">
        <v>152</v>
      </c>
      <c r="F43" s="154" t="s">
        <v>25</v>
      </c>
      <c r="G43" s="155" t="s">
        <v>153</v>
      </c>
      <c r="H43" s="133" t="s">
        <v>26</v>
      </c>
      <c r="I43" s="184" t="str">
        <f>'Wing Bank App'!I46</f>
        <v>07782087</v>
      </c>
      <c r="J43" s="131" t="s">
        <v>27</v>
      </c>
      <c r="K43" s="133" t="s">
        <v>32</v>
      </c>
      <c r="L43" s="157"/>
      <c r="M43" s="129" t="s">
        <v>29</v>
      </c>
      <c r="N43" s="129" t="s">
        <v>29</v>
      </c>
      <c r="O43" s="145">
        <f>'Wing Bank App'!O46</f>
        <v>120000</v>
      </c>
      <c r="P43" s="126" t="s">
        <v>154</v>
      </c>
      <c r="Q43" s="185" t="str">
        <f>'Wing Bank App'!Q46</f>
        <v>086938457</v>
      </c>
      <c r="R43" s="126" t="s">
        <v>154</v>
      </c>
      <c r="S43" s="126" t="s">
        <v>28</v>
      </c>
      <c r="T43" s="158"/>
      <c r="U43" s="148"/>
      <c r="V43" s="159" t="str">
        <f>'Wing Bank App'!Z46</f>
        <v>Passed</v>
      </c>
    </row>
    <row r="44" ht="59" customHeight="1" spans="1:22">
      <c r="A44" s="119">
        <v>43</v>
      </c>
      <c r="B44" s="120" t="s">
        <v>155</v>
      </c>
      <c r="C44" s="120"/>
      <c r="D44" s="174" t="s">
        <v>151</v>
      </c>
      <c r="E44" s="153" t="s">
        <v>152</v>
      </c>
      <c r="F44" s="154" t="s">
        <v>25</v>
      </c>
      <c r="G44" s="155" t="s">
        <v>156</v>
      </c>
      <c r="H44" s="126" t="s">
        <v>30</v>
      </c>
      <c r="I44" s="184" t="str">
        <f>'Wing Bank App'!I47</f>
        <v>103634567</v>
      </c>
      <c r="J44" s="126" t="s">
        <v>31</v>
      </c>
      <c r="K44" s="126" t="s">
        <v>28</v>
      </c>
      <c r="L44" s="158"/>
      <c r="M44" s="129" t="s">
        <v>29</v>
      </c>
      <c r="N44" s="129" t="s">
        <v>29</v>
      </c>
      <c r="O44" s="145">
        <f>'Wing Bank App'!O47</f>
        <v>30</v>
      </c>
      <c r="P44" s="131" t="s">
        <v>154</v>
      </c>
      <c r="Q44" s="185" t="str">
        <f>'Wing Bank App'!Q47</f>
        <v>086938457</v>
      </c>
      <c r="R44" s="131" t="s">
        <v>154</v>
      </c>
      <c r="S44" s="131" t="s">
        <v>32</v>
      </c>
      <c r="T44" s="158"/>
      <c r="U44" s="148"/>
      <c r="V44" s="159" t="str">
        <f>'Wing Bank App'!Z47</f>
        <v>Passed</v>
      </c>
    </row>
    <row r="45" ht="59" customHeight="1" spans="1:22">
      <c r="A45" s="119">
        <v>44</v>
      </c>
      <c r="B45" s="120" t="s">
        <v>157</v>
      </c>
      <c r="C45" s="120"/>
      <c r="D45" s="174" t="s">
        <v>158</v>
      </c>
      <c r="E45" s="153" t="s">
        <v>159</v>
      </c>
      <c r="F45" s="154" t="s">
        <v>25</v>
      </c>
      <c r="G45" s="153" t="s">
        <v>160</v>
      </c>
      <c r="H45" s="133" t="s">
        <v>30</v>
      </c>
      <c r="I45" s="184" t="str">
        <f>'Wing Bank App'!I48</f>
        <v>103634533</v>
      </c>
      <c r="J45" s="131" t="s">
        <v>31</v>
      </c>
      <c r="K45" s="133" t="s">
        <v>32</v>
      </c>
      <c r="L45" s="145">
        <f>'Wing Bank App'!L48</f>
        <v>1</v>
      </c>
      <c r="M45" s="129" t="s">
        <v>29</v>
      </c>
      <c r="N45" s="129" t="s">
        <v>29</v>
      </c>
      <c r="O45" s="145">
        <f>'Wing Bank App'!O48</f>
        <v>0</v>
      </c>
      <c r="P45" s="133" t="s">
        <v>161</v>
      </c>
      <c r="Q45" s="132" t="str">
        <f>'Wing Bank App'!Q48</f>
        <v>2CI-8210</v>
      </c>
      <c r="R45" s="133" t="s">
        <v>162</v>
      </c>
      <c r="S45" s="133" t="s">
        <v>32</v>
      </c>
      <c r="T45" s="158"/>
      <c r="U45" s="148"/>
      <c r="V45" s="159" t="str">
        <f>'Wing Bank App'!Z48</f>
        <v>Passed</v>
      </c>
    </row>
    <row r="46" ht="59" customHeight="1" spans="1:22">
      <c r="A46" s="119">
        <v>45</v>
      </c>
      <c r="B46" s="120" t="s">
        <v>163</v>
      </c>
      <c r="C46" s="120"/>
      <c r="D46" s="174" t="s">
        <v>158</v>
      </c>
      <c r="E46" s="153" t="s">
        <v>159</v>
      </c>
      <c r="F46" s="154" t="s">
        <v>25</v>
      </c>
      <c r="G46" s="153" t="s">
        <v>164</v>
      </c>
      <c r="H46" s="133" t="s">
        <v>26</v>
      </c>
      <c r="I46" s="184" t="str">
        <f>'Wing Bank App'!I49</f>
        <v>07782087</v>
      </c>
      <c r="J46" s="131" t="s">
        <v>27</v>
      </c>
      <c r="K46" s="133" t="s">
        <v>32</v>
      </c>
      <c r="L46" s="145">
        <f>'Wing Bank App'!L49</f>
        <v>1</v>
      </c>
      <c r="M46" s="129" t="s">
        <v>29</v>
      </c>
      <c r="N46" s="129" t="s">
        <v>29</v>
      </c>
      <c r="O46" s="145">
        <f>'Wing Bank App'!O49</f>
        <v>0</v>
      </c>
      <c r="P46" s="133" t="s">
        <v>161</v>
      </c>
      <c r="Q46" s="132" t="str">
        <f>'Wing Bank App'!Q49</f>
        <v>2CI-8210</v>
      </c>
      <c r="R46" s="133" t="s">
        <v>162</v>
      </c>
      <c r="S46" s="133" t="s">
        <v>32</v>
      </c>
      <c r="T46" s="158"/>
      <c r="U46" s="148"/>
      <c r="V46" s="159" t="str">
        <f>'Wing Bank App'!Z49</f>
        <v>Passed</v>
      </c>
    </row>
    <row r="47" ht="59" customHeight="1" spans="1:22">
      <c r="A47" s="119">
        <v>46</v>
      </c>
      <c r="B47" s="120" t="s">
        <v>165</v>
      </c>
      <c r="C47" s="120"/>
      <c r="D47" s="174" t="s">
        <v>166</v>
      </c>
      <c r="E47" s="123" t="s">
        <v>167</v>
      </c>
      <c r="F47" s="124" t="s">
        <v>25</v>
      </c>
      <c r="G47" s="125" t="s">
        <v>167</v>
      </c>
      <c r="H47" s="133" t="s">
        <v>26</v>
      </c>
      <c r="I47" s="184" t="str">
        <f>'Wing Bank App'!I50</f>
        <v>07782087</v>
      </c>
      <c r="J47" s="131" t="s">
        <v>27</v>
      </c>
      <c r="K47" s="133" t="s">
        <v>32</v>
      </c>
      <c r="L47" s="158"/>
      <c r="M47" s="154" t="s">
        <v>168</v>
      </c>
      <c r="N47" s="129" t="s">
        <v>169</v>
      </c>
      <c r="O47" s="145">
        <f>'Wing Bank App'!O50</f>
        <v>5</v>
      </c>
      <c r="P47" s="131" t="s">
        <v>170</v>
      </c>
      <c r="Q47" s="185" t="str">
        <f>'Wing Bank App'!Q50</f>
        <v>00751774</v>
      </c>
      <c r="R47" s="131" t="s">
        <v>171</v>
      </c>
      <c r="S47" s="131" t="s">
        <v>32</v>
      </c>
      <c r="T47" s="158"/>
      <c r="U47" s="148"/>
      <c r="V47" s="159" t="str">
        <f>'Wing Bank App'!Z50</f>
        <v>Passed</v>
      </c>
    </row>
    <row r="48" ht="59" customHeight="1" spans="1:22">
      <c r="A48" s="119">
        <v>47</v>
      </c>
      <c r="B48" s="120" t="s">
        <v>172</v>
      </c>
      <c r="C48" s="120"/>
      <c r="D48" s="174" t="s">
        <v>166</v>
      </c>
      <c r="E48" s="123" t="s">
        <v>173</v>
      </c>
      <c r="F48" s="124" t="s">
        <v>25</v>
      </c>
      <c r="G48" s="125" t="s">
        <v>173</v>
      </c>
      <c r="H48" s="126" t="s">
        <v>30</v>
      </c>
      <c r="I48" s="184" t="str">
        <f>'Wing Bank App'!I51</f>
        <v>103634567</v>
      </c>
      <c r="J48" s="126" t="s">
        <v>31</v>
      </c>
      <c r="K48" s="126" t="s">
        <v>28</v>
      </c>
      <c r="L48" s="158"/>
      <c r="M48" s="154" t="s">
        <v>168</v>
      </c>
      <c r="N48" s="129" t="s">
        <v>174</v>
      </c>
      <c r="O48" s="145">
        <f>'Wing Bank App'!O51</f>
        <v>20000</v>
      </c>
      <c r="P48" s="126" t="s">
        <v>170</v>
      </c>
      <c r="Q48" s="185" t="str">
        <f>'Wing Bank App'!Q51</f>
        <v>00751770</v>
      </c>
      <c r="R48" s="126" t="s">
        <v>171</v>
      </c>
      <c r="S48" s="126" t="s">
        <v>28</v>
      </c>
      <c r="T48" s="158"/>
      <c r="U48" s="148"/>
      <c r="V48" s="159" t="str">
        <f>'Wing Bank App'!Z51</f>
        <v>Passed</v>
      </c>
    </row>
    <row r="49" ht="59" customHeight="1" spans="1:22">
      <c r="A49" s="119">
        <v>48</v>
      </c>
      <c r="B49" s="120" t="s">
        <v>175</v>
      </c>
      <c r="C49" s="120"/>
      <c r="D49" s="174" t="s">
        <v>176</v>
      </c>
      <c r="E49" s="123" t="s">
        <v>177</v>
      </c>
      <c r="F49" s="124" t="s">
        <v>25</v>
      </c>
      <c r="G49" s="125" t="s">
        <v>177</v>
      </c>
      <c r="H49" s="133" t="s">
        <v>30</v>
      </c>
      <c r="I49" s="184" t="str">
        <f>'Wing Bank App'!I52</f>
        <v>103634533</v>
      </c>
      <c r="J49" s="131" t="s">
        <v>31</v>
      </c>
      <c r="K49" s="133" t="s">
        <v>32</v>
      </c>
      <c r="L49" s="128">
        <f>'Wing Bank App'!L52</f>
        <v>30</v>
      </c>
      <c r="M49" s="129" t="s">
        <v>29</v>
      </c>
      <c r="N49" s="129" t="s">
        <v>29</v>
      </c>
      <c r="O49" s="178"/>
      <c r="P49" s="126" t="s">
        <v>26</v>
      </c>
      <c r="Q49" s="185" t="str">
        <f>'Wing Bank App'!Q52</f>
        <v>07782083</v>
      </c>
      <c r="R49" s="126" t="s">
        <v>27</v>
      </c>
      <c r="S49" s="126" t="s">
        <v>28</v>
      </c>
      <c r="T49" s="158"/>
      <c r="U49" s="148"/>
      <c r="V49" s="159" t="str">
        <f>'Wing Bank App'!Z52</f>
        <v>Passed</v>
      </c>
    </row>
    <row r="50" ht="59" customHeight="1" spans="1:22">
      <c r="A50" s="119">
        <v>49</v>
      </c>
      <c r="B50" s="120" t="s">
        <v>178</v>
      </c>
      <c r="C50" s="120"/>
      <c r="D50" s="174" t="s">
        <v>176</v>
      </c>
      <c r="E50" s="123" t="s">
        <v>179</v>
      </c>
      <c r="F50" s="124" t="s">
        <v>25</v>
      </c>
      <c r="G50" s="125" t="s">
        <v>179</v>
      </c>
      <c r="H50" s="126" t="s">
        <v>26</v>
      </c>
      <c r="I50" s="184" t="str">
        <f>'Wing Bank App'!I53</f>
        <v>07782083</v>
      </c>
      <c r="J50" s="126" t="s">
        <v>27</v>
      </c>
      <c r="K50" s="126" t="s">
        <v>28</v>
      </c>
      <c r="L50" s="128">
        <f>'Wing Bank App'!L53</f>
        <v>120000</v>
      </c>
      <c r="M50" s="129" t="s">
        <v>29</v>
      </c>
      <c r="N50" s="129" t="s">
        <v>29</v>
      </c>
      <c r="O50" s="157"/>
      <c r="P50" s="133" t="s">
        <v>30</v>
      </c>
      <c r="Q50" s="185" t="str">
        <f>'Wing Bank App'!Q53</f>
        <v>103634533</v>
      </c>
      <c r="R50" s="131" t="s">
        <v>31</v>
      </c>
      <c r="S50" s="133" t="s">
        <v>32</v>
      </c>
      <c r="T50" s="158"/>
      <c r="U50" s="148"/>
      <c r="V50" s="159" t="str">
        <f>'Wing Bank App'!Z53</f>
        <v>Passed</v>
      </c>
    </row>
    <row r="51" ht="59" customHeight="1" spans="1:22">
      <c r="A51" s="119">
        <v>50</v>
      </c>
      <c r="B51" s="120" t="s">
        <v>180</v>
      </c>
      <c r="C51" s="120"/>
      <c r="D51" s="180" t="s">
        <v>181</v>
      </c>
      <c r="E51" s="147" t="s">
        <v>182</v>
      </c>
      <c r="F51" s="124" t="s">
        <v>25</v>
      </c>
      <c r="G51" s="125" t="s">
        <v>183</v>
      </c>
      <c r="H51" s="133" t="s">
        <v>30</v>
      </c>
      <c r="I51" s="184" t="str">
        <f>'Wing Bank App'!I54</f>
        <v>103634533</v>
      </c>
      <c r="J51" s="131" t="s">
        <v>31</v>
      </c>
      <c r="K51" s="133" t="s">
        <v>32</v>
      </c>
      <c r="L51" s="157"/>
      <c r="M51" s="129" t="s">
        <v>184</v>
      </c>
      <c r="N51" s="129" t="s">
        <v>29</v>
      </c>
      <c r="O51" s="128">
        <f>'Wing Bank App'!O54</f>
        <v>0</v>
      </c>
      <c r="P51" s="133" t="s">
        <v>60</v>
      </c>
      <c r="Q51" s="132" t="str">
        <f>'Wing Bank App'!Q54</f>
        <v>N/A</v>
      </c>
      <c r="R51" s="133" t="s">
        <v>60</v>
      </c>
      <c r="S51" s="133" t="s">
        <v>185</v>
      </c>
      <c r="T51" s="158"/>
      <c r="U51" s="148"/>
      <c r="V51" s="159" t="str">
        <f>'Wing Bank App'!Z54</f>
        <v>Failed</v>
      </c>
    </row>
    <row r="52" ht="59" customHeight="1" spans="1:22">
      <c r="A52" s="119">
        <v>51</v>
      </c>
      <c r="B52" s="120" t="s">
        <v>186</v>
      </c>
      <c r="C52" s="120"/>
      <c r="D52" s="180" t="s">
        <v>181</v>
      </c>
      <c r="E52" s="125" t="s">
        <v>182</v>
      </c>
      <c r="F52" s="124" t="s">
        <v>25</v>
      </c>
      <c r="G52" s="125" t="s">
        <v>187</v>
      </c>
      <c r="H52" s="133" t="s">
        <v>26</v>
      </c>
      <c r="I52" s="184" t="str">
        <f>'Wing Bank App'!I55</f>
        <v>07782087</v>
      </c>
      <c r="J52" s="131" t="s">
        <v>27</v>
      </c>
      <c r="K52" s="133" t="s">
        <v>32</v>
      </c>
      <c r="L52" s="157"/>
      <c r="M52" s="129" t="s">
        <v>184</v>
      </c>
      <c r="N52" s="129" t="s">
        <v>29</v>
      </c>
      <c r="O52" s="128">
        <f>'Wing Bank App'!O55</f>
        <v>0</v>
      </c>
      <c r="P52" s="133" t="s">
        <v>60</v>
      </c>
      <c r="Q52" s="132" t="str">
        <f>'Wing Bank App'!Q55</f>
        <v>N/A</v>
      </c>
      <c r="R52" s="133" t="s">
        <v>60</v>
      </c>
      <c r="S52" s="133" t="s">
        <v>185</v>
      </c>
      <c r="T52" s="158"/>
      <c r="U52" s="148"/>
      <c r="V52" s="159" t="str">
        <f>'Wing Bank App'!Z55</f>
        <v>Failed</v>
      </c>
    </row>
    <row r="53" ht="59" customHeight="1" spans="1:22">
      <c r="A53" s="119">
        <v>52</v>
      </c>
      <c r="B53" s="120" t="s">
        <v>188</v>
      </c>
      <c r="C53" s="120"/>
      <c r="D53" s="181" t="s">
        <v>189</v>
      </c>
      <c r="E53" s="164" t="s">
        <v>190</v>
      </c>
      <c r="F53" s="165" t="s">
        <v>25</v>
      </c>
      <c r="G53" s="164" t="s">
        <v>191</v>
      </c>
      <c r="H53" s="133" t="s">
        <v>30</v>
      </c>
      <c r="I53" s="184" t="str">
        <f>'Wing Bank App'!I56</f>
        <v>103634533</v>
      </c>
      <c r="J53" s="131" t="s">
        <v>31</v>
      </c>
      <c r="K53" s="133" t="s">
        <v>32</v>
      </c>
      <c r="L53" s="157"/>
      <c r="M53" s="129" t="s">
        <v>192</v>
      </c>
      <c r="N53" s="129" t="s">
        <v>29</v>
      </c>
      <c r="O53" s="128">
        <f>'Wing Bank App'!O56</f>
        <v>120000</v>
      </c>
      <c r="P53" s="126" t="s">
        <v>139</v>
      </c>
      <c r="Q53" s="185" t="str">
        <f>'Wing Bank App'!Q56</f>
        <v>600901105</v>
      </c>
      <c r="R53" s="126" t="s">
        <v>193</v>
      </c>
      <c r="S53" s="126" t="s">
        <v>28</v>
      </c>
      <c r="T53" s="158"/>
      <c r="U53" s="148"/>
      <c r="V53" s="159" t="str">
        <f>'Wing Bank App'!Z56</f>
        <v>Passed</v>
      </c>
    </row>
    <row r="54" ht="59" customHeight="1" spans="1:22">
      <c r="A54" s="119">
        <v>53</v>
      </c>
      <c r="B54" s="120" t="s">
        <v>194</v>
      </c>
      <c r="C54" s="120"/>
      <c r="D54" s="181" t="s">
        <v>189</v>
      </c>
      <c r="E54" s="164" t="s">
        <v>190</v>
      </c>
      <c r="F54" s="165" t="s">
        <v>25</v>
      </c>
      <c r="G54" s="164" t="s">
        <v>195</v>
      </c>
      <c r="H54" s="126" t="s">
        <v>30</v>
      </c>
      <c r="I54" s="184" t="str">
        <f>'Wing Bank App'!I57</f>
        <v>103634567</v>
      </c>
      <c r="J54" s="126" t="s">
        <v>31</v>
      </c>
      <c r="K54" s="126" t="s">
        <v>28</v>
      </c>
      <c r="L54" s="158"/>
      <c r="M54" s="129" t="s">
        <v>196</v>
      </c>
      <c r="N54" s="129" t="s">
        <v>29</v>
      </c>
      <c r="O54" s="128">
        <f>'Wing Bank App'!O57</f>
        <v>30</v>
      </c>
      <c r="P54" s="133" t="s">
        <v>139</v>
      </c>
      <c r="Q54" s="185" t="str">
        <f>'Wing Bank App'!Q57</f>
        <v>004426857</v>
      </c>
      <c r="R54" s="133" t="s">
        <v>193</v>
      </c>
      <c r="S54" s="133" t="s">
        <v>32</v>
      </c>
      <c r="T54" s="158"/>
      <c r="U54" s="148"/>
      <c r="V54" s="159" t="str">
        <f>'Wing Bank App'!Z57</f>
        <v>Passed</v>
      </c>
    </row>
    <row r="55" ht="59" customHeight="1" spans="1:22">
      <c r="A55" s="119">
        <v>54</v>
      </c>
      <c r="B55" s="120" t="s">
        <v>197</v>
      </c>
      <c r="C55" s="120"/>
      <c r="D55" s="181" t="s">
        <v>189</v>
      </c>
      <c r="E55" s="164" t="s">
        <v>190</v>
      </c>
      <c r="F55" s="165" t="s">
        <v>25</v>
      </c>
      <c r="G55" s="164" t="s">
        <v>198</v>
      </c>
      <c r="H55" s="126" t="s">
        <v>26</v>
      </c>
      <c r="I55" s="184" t="str">
        <f>'Wing Bank App'!I58</f>
        <v>07782083</v>
      </c>
      <c r="J55" s="126" t="s">
        <v>27</v>
      </c>
      <c r="K55" s="126" t="s">
        <v>28</v>
      </c>
      <c r="L55" s="158"/>
      <c r="M55" s="129" t="s">
        <v>196</v>
      </c>
      <c r="N55" s="129" t="s">
        <v>29</v>
      </c>
      <c r="O55" s="128">
        <f>'Wing Bank App'!O58</f>
        <v>30</v>
      </c>
      <c r="P55" s="133" t="s">
        <v>139</v>
      </c>
      <c r="Q55" s="185" t="str">
        <f>'Wing Bank App'!Q58</f>
        <v>004426857</v>
      </c>
      <c r="R55" s="133" t="s">
        <v>193</v>
      </c>
      <c r="S55" s="133" t="s">
        <v>32</v>
      </c>
      <c r="T55" s="158"/>
      <c r="U55" s="148"/>
      <c r="V55" s="159" t="str">
        <f>'Wing Bank App'!Z58</f>
        <v>Passed</v>
      </c>
    </row>
    <row r="56" ht="59" customHeight="1" spans="1:22">
      <c r="A56" s="119">
        <v>55</v>
      </c>
      <c r="B56" s="120" t="s">
        <v>199</v>
      </c>
      <c r="C56" s="120"/>
      <c r="D56" s="181" t="s">
        <v>189</v>
      </c>
      <c r="E56" s="164" t="s">
        <v>190</v>
      </c>
      <c r="F56" s="165" t="s">
        <v>25</v>
      </c>
      <c r="G56" s="164" t="s">
        <v>200</v>
      </c>
      <c r="H56" s="133" t="s">
        <v>26</v>
      </c>
      <c r="I56" s="184" t="str">
        <f>'Wing Bank App'!I59</f>
        <v>07782087</v>
      </c>
      <c r="J56" s="131" t="s">
        <v>27</v>
      </c>
      <c r="K56" s="133" t="s">
        <v>32</v>
      </c>
      <c r="L56" s="157"/>
      <c r="M56" s="129" t="s">
        <v>192</v>
      </c>
      <c r="N56" s="129" t="s">
        <v>29</v>
      </c>
      <c r="O56" s="128">
        <f>'Wing Bank App'!O59</f>
        <v>120000</v>
      </c>
      <c r="P56" s="126" t="s">
        <v>139</v>
      </c>
      <c r="Q56" s="185" t="str">
        <f>'Wing Bank App'!Q59</f>
        <v>600901105</v>
      </c>
      <c r="R56" s="126" t="s">
        <v>193</v>
      </c>
      <c r="S56" s="126" t="s">
        <v>28</v>
      </c>
      <c r="T56" s="158"/>
      <c r="U56" s="148"/>
      <c r="V56" s="159" t="str">
        <f>'Wing Bank App'!Z59</f>
        <v>Passed</v>
      </c>
    </row>
    <row r="57" ht="59" customHeight="1" spans="1:22">
      <c r="A57" s="119">
        <v>56</v>
      </c>
      <c r="B57" s="120" t="s">
        <v>201</v>
      </c>
      <c r="C57" s="120"/>
      <c r="D57" s="181" t="s">
        <v>202</v>
      </c>
      <c r="E57" s="153" t="s">
        <v>203</v>
      </c>
      <c r="F57" s="154" t="s">
        <v>25</v>
      </c>
      <c r="G57" s="155" t="s">
        <v>204</v>
      </c>
      <c r="H57" s="133" t="s">
        <v>30</v>
      </c>
      <c r="I57" s="184" t="str">
        <f>'Wing Bank App'!I60</f>
        <v>103634533</v>
      </c>
      <c r="J57" s="131" t="s">
        <v>31</v>
      </c>
      <c r="K57" s="133" t="s">
        <v>32</v>
      </c>
      <c r="L57" s="128">
        <f>'Wing Bank App'!L60</f>
        <v>2</v>
      </c>
      <c r="M57" s="129" t="s">
        <v>168</v>
      </c>
      <c r="N57" s="129" t="s">
        <v>29</v>
      </c>
      <c r="O57" s="182"/>
      <c r="P57" s="133" t="s">
        <v>205</v>
      </c>
      <c r="Q57" s="185" t="str">
        <f>'Wing Bank App'!Q60</f>
        <v>004426857</v>
      </c>
      <c r="R57" s="133" t="s">
        <v>206</v>
      </c>
      <c r="S57" s="133" t="s">
        <v>32</v>
      </c>
      <c r="T57" s="158"/>
      <c r="U57" s="148"/>
      <c r="V57" s="159" t="str">
        <f>'Wing Bank App'!Z60</f>
        <v>Passed</v>
      </c>
    </row>
    <row r="58" ht="59" customHeight="1" spans="1:22">
      <c r="A58" s="119">
        <v>57</v>
      </c>
      <c r="B58" s="120" t="s">
        <v>207</v>
      </c>
      <c r="C58" s="120"/>
      <c r="D58" s="181" t="s">
        <v>202</v>
      </c>
      <c r="E58" s="153" t="s">
        <v>203</v>
      </c>
      <c r="F58" s="154" t="s">
        <v>25</v>
      </c>
      <c r="G58" s="155" t="s">
        <v>208</v>
      </c>
      <c r="H58" s="126" t="s">
        <v>30</v>
      </c>
      <c r="I58" s="184" t="str">
        <f>'Wing Bank App'!I61</f>
        <v>103634567</v>
      </c>
      <c r="J58" s="126" t="s">
        <v>31</v>
      </c>
      <c r="K58" s="126" t="s">
        <v>28</v>
      </c>
      <c r="L58" s="128">
        <f>'Wing Bank App'!L61</f>
        <v>8000</v>
      </c>
      <c r="M58" s="129" t="s">
        <v>168</v>
      </c>
      <c r="N58" s="129" t="s">
        <v>29</v>
      </c>
      <c r="O58" s="158"/>
      <c r="P58" s="126" t="s">
        <v>205</v>
      </c>
      <c r="Q58" s="185" t="str">
        <f>'Wing Bank App'!Q61</f>
        <v>600901105</v>
      </c>
      <c r="R58" s="133" t="s">
        <v>206</v>
      </c>
      <c r="S58" s="126" t="s">
        <v>28</v>
      </c>
      <c r="T58" s="158"/>
      <c r="U58" s="148"/>
      <c r="V58" s="159" t="str">
        <f>'Wing Bank App'!Z61</f>
        <v>Passed</v>
      </c>
    </row>
    <row r="59" ht="59" customHeight="1" spans="1:22">
      <c r="A59" s="119">
        <v>58</v>
      </c>
      <c r="B59" s="120" t="s">
        <v>209</v>
      </c>
      <c r="C59" s="120"/>
      <c r="D59" s="181" t="s">
        <v>210</v>
      </c>
      <c r="E59" s="153" t="s">
        <v>211</v>
      </c>
      <c r="F59" s="154" t="s">
        <v>25</v>
      </c>
      <c r="G59" s="155" t="s">
        <v>153</v>
      </c>
      <c r="H59" s="133" t="s">
        <v>30</v>
      </c>
      <c r="I59" s="184" t="str">
        <f>'Wing Bank App'!I62</f>
        <v>103634533</v>
      </c>
      <c r="J59" s="131" t="s">
        <v>31</v>
      </c>
      <c r="K59" s="133" t="s">
        <v>32</v>
      </c>
      <c r="L59" s="157"/>
      <c r="M59" s="129" t="s">
        <v>192</v>
      </c>
      <c r="N59" s="129" t="s">
        <v>29</v>
      </c>
      <c r="O59" s="128">
        <f>'Wing Bank App'!O62</f>
        <v>120000</v>
      </c>
      <c r="P59" s="126" t="s">
        <v>212</v>
      </c>
      <c r="Q59" s="185" t="str">
        <f>'Wing Bank App'!Q62</f>
        <v>086938457</v>
      </c>
      <c r="R59" s="126" t="s">
        <v>212</v>
      </c>
      <c r="S59" s="126" t="s">
        <v>28</v>
      </c>
      <c r="T59" s="158"/>
      <c r="U59" s="148"/>
      <c r="V59" s="159" t="str">
        <f>'Wing Bank App'!Z62</f>
        <v>Passed</v>
      </c>
    </row>
    <row r="60" ht="59" customHeight="1" spans="1:22">
      <c r="A60" s="119">
        <v>59</v>
      </c>
      <c r="B60" s="120" t="s">
        <v>213</v>
      </c>
      <c r="C60" s="120"/>
      <c r="D60" s="181" t="s">
        <v>210</v>
      </c>
      <c r="E60" s="153" t="s">
        <v>211</v>
      </c>
      <c r="F60" s="154" t="s">
        <v>25</v>
      </c>
      <c r="G60" s="155" t="s">
        <v>214</v>
      </c>
      <c r="H60" s="126" t="s">
        <v>30</v>
      </c>
      <c r="I60" s="184" t="str">
        <f>'Wing Bank App'!I63</f>
        <v>103634567</v>
      </c>
      <c r="J60" s="126" t="s">
        <v>31</v>
      </c>
      <c r="K60" s="126" t="s">
        <v>28</v>
      </c>
      <c r="L60" s="158"/>
      <c r="M60" s="129" t="s">
        <v>215</v>
      </c>
      <c r="N60" s="129" t="s">
        <v>29</v>
      </c>
      <c r="O60" s="128">
        <f>'Wing Bank App'!O63</f>
        <v>4000</v>
      </c>
      <c r="P60" s="126" t="s">
        <v>212</v>
      </c>
      <c r="Q60" s="185" t="str">
        <f>'Wing Bank App'!Q63</f>
        <v>086938457</v>
      </c>
      <c r="R60" s="126" t="s">
        <v>212</v>
      </c>
      <c r="S60" s="126" t="s">
        <v>28</v>
      </c>
      <c r="T60" s="158"/>
      <c r="U60" s="148"/>
      <c r="V60" s="159" t="str">
        <f>'Wing Bank App'!Z63</f>
        <v>Passed</v>
      </c>
    </row>
    <row r="61" ht="59" customHeight="1" spans="1:22">
      <c r="A61" s="119">
        <v>60</v>
      </c>
      <c r="B61" s="120" t="s">
        <v>216</v>
      </c>
      <c r="C61" s="120"/>
      <c r="D61" s="181" t="s">
        <v>210</v>
      </c>
      <c r="E61" s="153" t="s">
        <v>211</v>
      </c>
      <c r="F61" s="154" t="s">
        <v>25</v>
      </c>
      <c r="G61" s="155" t="s">
        <v>217</v>
      </c>
      <c r="H61" s="133" t="s">
        <v>26</v>
      </c>
      <c r="I61" s="184" t="str">
        <f>'Wing Bank App'!I64</f>
        <v>07782087</v>
      </c>
      <c r="J61" s="131" t="s">
        <v>27</v>
      </c>
      <c r="K61" s="133" t="s">
        <v>32</v>
      </c>
      <c r="L61" s="157"/>
      <c r="M61" s="129" t="s">
        <v>218</v>
      </c>
      <c r="N61" s="129" t="s">
        <v>29</v>
      </c>
      <c r="O61" s="128">
        <f>'Wing Bank App'!O64</f>
        <v>1</v>
      </c>
      <c r="P61" s="133" t="s">
        <v>219</v>
      </c>
      <c r="Q61" s="185" t="str">
        <f>'Wing Bank App'!Q64</f>
        <v>086938457</v>
      </c>
      <c r="R61" s="133" t="s">
        <v>219</v>
      </c>
      <c r="S61" s="133" t="s">
        <v>32</v>
      </c>
      <c r="T61" s="158"/>
      <c r="U61" s="148"/>
      <c r="V61" s="159" t="str">
        <f>'Wing Bank App'!Z64</f>
        <v>Passed</v>
      </c>
    </row>
    <row r="62" ht="59" customHeight="1" spans="1:22">
      <c r="A62" s="119">
        <v>61</v>
      </c>
      <c r="B62" s="120" t="s">
        <v>220</v>
      </c>
      <c r="C62" s="120"/>
      <c r="D62" s="181" t="s">
        <v>210</v>
      </c>
      <c r="E62" s="153" t="s">
        <v>211</v>
      </c>
      <c r="F62" s="154" t="s">
        <v>25</v>
      </c>
      <c r="G62" s="155" t="s">
        <v>221</v>
      </c>
      <c r="H62" s="126" t="s">
        <v>26</v>
      </c>
      <c r="I62" s="184" t="str">
        <f>'Wing Bank App'!I65</f>
        <v>07782083</v>
      </c>
      <c r="J62" s="126" t="s">
        <v>27</v>
      </c>
      <c r="K62" s="126" t="s">
        <v>28</v>
      </c>
      <c r="L62" s="158"/>
      <c r="M62" s="129" t="s">
        <v>196</v>
      </c>
      <c r="N62" s="129" t="s">
        <v>29</v>
      </c>
      <c r="O62" s="128">
        <f>'Wing Bank App'!O65</f>
        <v>30</v>
      </c>
      <c r="P62" s="133" t="s">
        <v>219</v>
      </c>
      <c r="Q62" s="185" t="str">
        <f>'Wing Bank App'!Q65</f>
        <v>086938457</v>
      </c>
      <c r="R62" s="133" t="s">
        <v>219</v>
      </c>
      <c r="S62" s="133" t="s">
        <v>32</v>
      </c>
      <c r="T62" s="158"/>
      <c r="U62" s="148"/>
      <c r="V62" s="159" t="str">
        <f>'Wing Bank App'!Z65</f>
        <v>Passed</v>
      </c>
    </row>
    <row r="63" ht="59" customHeight="1" spans="1:22">
      <c r="A63" s="119">
        <v>62</v>
      </c>
      <c r="B63" s="120" t="s">
        <v>222</v>
      </c>
      <c r="C63" s="120"/>
      <c r="D63" s="181" t="s">
        <v>223</v>
      </c>
      <c r="E63" s="153" t="s">
        <v>224</v>
      </c>
      <c r="F63" s="154" t="s">
        <v>25</v>
      </c>
      <c r="G63" s="155" t="s">
        <v>225</v>
      </c>
      <c r="H63" s="133" t="s">
        <v>30</v>
      </c>
      <c r="I63" s="184" t="str">
        <f>'Wing Bank App'!I66</f>
        <v>103634533</v>
      </c>
      <c r="J63" s="131" t="s">
        <v>31</v>
      </c>
      <c r="K63" s="133" t="s">
        <v>32</v>
      </c>
      <c r="L63" s="157"/>
      <c r="M63" s="129" t="s">
        <v>226</v>
      </c>
      <c r="N63" s="129" t="s">
        <v>29</v>
      </c>
      <c r="O63" s="128">
        <f>'Wing Bank App'!O66</f>
        <v>120000</v>
      </c>
      <c r="P63" s="126" t="s">
        <v>227</v>
      </c>
      <c r="Q63" s="185" t="str">
        <f>'Wing Bank App'!Q66</f>
        <v>600901105</v>
      </c>
      <c r="R63" s="126" t="s">
        <v>227</v>
      </c>
      <c r="S63" s="126" t="s">
        <v>28</v>
      </c>
      <c r="T63" s="158"/>
      <c r="U63" s="148"/>
      <c r="V63" s="159" t="str">
        <f>'Wing Bank App'!Z66</f>
        <v>Passed</v>
      </c>
    </row>
    <row r="64" ht="59" customHeight="1" spans="1:22">
      <c r="A64" s="119">
        <v>63</v>
      </c>
      <c r="B64" s="120" t="s">
        <v>228</v>
      </c>
      <c r="C64" s="120"/>
      <c r="D64" s="181" t="s">
        <v>223</v>
      </c>
      <c r="E64" s="153" t="s">
        <v>224</v>
      </c>
      <c r="F64" s="154" t="s">
        <v>25</v>
      </c>
      <c r="G64" s="155" t="s">
        <v>229</v>
      </c>
      <c r="H64" s="126" t="s">
        <v>30</v>
      </c>
      <c r="I64" s="184" t="str">
        <f>'Wing Bank App'!I67</f>
        <v>103634567</v>
      </c>
      <c r="J64" s="126" t="s">
        <v>31</v>
      </c>
      <c r="K64" s="126" t="s">
        <v>28</v>
      </c>
      <c r="L64" s="158"/>
      <c r="M64" s="129" t="s">
        <v>226</v>
      </c>
      <c r="N64" s="129" t="s">
        <v>29</v>
      </c>
      <c r="O64" s="128">
        <f>'Wing Bank App'!O67</f>
        <v>8000</v>
      </c>
      <c r="P64" s="126" t="s">
        <v>227</v>
      </c>
      <c r="Q64" s="185" t="str">
        <f>'Wing Bank App'!Q67</f>
        <v>600901105</v>
      </c>
      <c r="R64" s="126" t="s">
        <v>227</v>
      </c>
      <c r="S64" s="126" t="s">
        <v>28</v>
      </c>
      <c r="T64" s="158"/>
      <c r="U64" s="148"/>
      <c r="V64" s="159" t="str">
        <f>'Wing Bank App'!Z67</f>
        <v>Passed</v>
      </c>
    </row>
    <row r="65" ht="59" customHeight="1" spans="1:22">
      <c r="A65" s="119">
        <v>64</v>
      </c>
      <c r="B65" s="120" t="s">
        <v>230</v>
      </c>
      <c r="C65" s="120"/>
      <c r="D65" s="181" t="s">
        <v>223</v>
      </c>
      <c r="E65" s="153" t="s">
        <v>224</v>
      </c>
      <c r="F65" s="154" t="s">
        <v>25</v>
      </c>
      <c r="G65" s="155" t="s">
        <v>231</v>
      </c>
      <c r="H65" s="133" t="s">
        <v>26</v>
      </c>
      <c r="I65" s="184" t="str">
        <f>'Wing Bank App'!I68</f>
        <v>07782087</v>
      </c>
      <c r="J65" s="131" t="s">
        <v>27</v>
      </c>
      <c r="K65" s="133" t="s">
        <v>32</v>
      </c>
      <c r="L65" s="157"/>
      <c r="M65" s="129" t="s">
        <v>232</v>
      </c>
      <c r="N65" s="129" t="s">
        <v>29</v>
      </c>
      <c r="O65" s="128">
        <f>'Wing Bank App'!O68</f>
        <v>2</v>
      </c>
      <c r="P65" s="133" t="s">
        <v>227</v>
      </c>
      <c r="Q65" s="185" t="str">
        <f>'Wing Bank App'!Q68</f>
        <v>004426857</v>
      </c>
      <c r="R65" s="133" t="s">
        <v>227</v>
      </c>
      <c r="S65" s="133" t="s">
        <v>32</v>
      </c>
      <c r="T65" s="158"/>
      <c r="U65" s="148"/>
      <c r="V65" s="159" t="str">
        <f>'Wing Bank App'!Z68</f>
        <v>Passed</v>
      </c>
    </row>
    <row r="66" ht="59" customHeight="1" spans="1:22">
      <c r="A66" s="119">
        <v>65</v>
      </c>
      <c r="B66" s="120" t="s">
        <v>233</v>
      </c>
      <c r="C66" s="120"/>
      <c r="D66" s="181" t="s">
        <v>223</v>
      </c>
      <c r="E66" s="153" t="s">
        <v>224</v>
      </c>
      <c r="F66" s="154" t="s">
        <v>25</v>
      </c>
      <c r="G66" s="155" t="s">
        <v>234</v>
      </c>
      <c r="H66" s="126" t="s">
        <v>26</v>
      </c>
      <c r="I66" s="184" t="str">
        <f>'Wing Bank App'!I69</f>
        <v>07782083</v>
      </c>
      <c r="J66" s="126" t="s">
        <v>27</v>
      </c>
      <c r="K66" s="126" t="s">
        <v>28</v>
      </c>
      <c r="L66" s="158"/>
      <c r="M66" s="129" t="s">
        <v>232</v>
      </c>
      <c r="N66" s="129" t="s">
        <v>29</v>
      </c>
      <c r="O66" s="128">
        <f>'Wing Bank App'!O69</f>
        <v>30</v>
      </c>
      <c r="P66" s="133" t="s">
        <v>227</v>
      </c>
      <c r="Q66" s="185" t="str">
        <f>'Wing Bank App'!Q69</f>
        <v>004426857</v>
      </c>
      <c r="R66" s="133" t="s">
        <v>227</v>
      </c>
      <c r="S66" s="133" t="s">
        <v>32</v>
      </c>
      <c r="T66" s="158"/>
      <c r="U66" s="148"/>
      <c r="V66" s="159" t="str">
        <f>'Wing Bank App'!Z69</f>
        <v>Not Executed</v>
      </c>
    </row>
    <row r="67" ht="59" customHeight="1" spans="1:22">
      <c r="A67" s="119">
        <v>66</v>
      </c>
      <c r="B67" s="120" t="s">
        <v>235</v>
      </c>
      <c r="C67" s="120"/>
      <c r="D67" s="181" t="s">
        <v>236</v>
      </c>
      <c r="E67" s="170" t="s">
        <v>237</v>
      </c>
      <c r="F67" s="154" t="s">
        <v>25</v>
      </c>
      <c r="G67" s="155" t="s">
        <v>238</v>
      </c>
      <c r="H67" s="133" t="s">
        <v>30</v>
      </c>
      <c r="I67" s="184" t="str">
        <f>'Wing Bank App'!I70</f>
        <v>103634533</v>
      </c>
      <c r="J67" s="131" t="s">
        <v>31</v>
      </c>
      <c r="K67" s="133" t="s">
        <v>32</v>
      </c>
      <c r="L67" s="157"/>
      <c r="M67" s="129" t="s">
        <v>239</v>
      </c>
      <c r="N67" s="129" t="s">
        <v>29</v>
      </c>
      <c r="O67" s="128">
        <f>'Wing Bank App'!O70</f>
        <v>5</v>
      </c>
      <c r="P67" s="133" t="s">
        <v>110</v>
      </c>
      <c r="Q67" s="132">
        <f>'Wing Bank App'!Q70</f>
        <v>533129</v>
      </c>
      <c r="R67" s="133" t="s">
        <v>240</v>
      </c>
      <c r="S67" s="133" t="s">
        <v>32</v>
      </c>
      <c r="T67" s="158"/>
      <c r="U67" s="148"/>
      <c r="V67" s="159" t="str">
        <f>'Wing Bank App'!Z70</f>
        <v>Not Executed</v>
      </c>
    </row>
    <row r="68" ht="59" customHeight="1" spans="1:22">
      <c r="A68" s="119">
        <v>67</v>
      </c>
      <c r="B68" s="120" t="s">
        <v>241</v>
      </c>
      <c r="C68" s="120"/>
      <c r="D68" s="181" t="s">
        <v>236</v>
      </c>
      <c r="E68" s="170" t="s">
        <v>237</v>
      </c>
      <c r="F68" s="154" t="s">
        <v>25</v>
      </c>
      <c r="G68" s="155" t="s">
        <v>242</v>
      </c>
      <c r="H68" s="126" t="s">
        <v>30</v>
      </c>
      <c r="I68" s="184" t="str">
        <f>'Wing Bank App'!I71</f>
        <v>103634567</v>
      </c>
      <c r="J68" s="126" t="s">
        <v>31</v>
      </c>
      <c r="K68" s="126" t="s">
        <v>28</v>
      </c>
      <c r="L68" s="158"/>
      <c r="M68" s="129" t="s">
        <v>243</v>
      </c>
      <c r="N68" s="129" t="s">
        <v>29</v>
      </c>
      <c r="O68" s="128">
        <f>'Wing Bank App'!O71</f>
        <v>20000</v>
      </c>
      <c r="P68" s="126" t="s">
        <v>110</v>
      </c>
      <c r="Q68" s="132">
        <f>'Wing Bank App'!Q71</f>
        <v>533130</v>
      </c>
      <c r="R68" s="126" t="s">
        <v>240</v>
      </c>
      <c r="S68" s="126" t="s">
        <v>28</v>
      </c>
      <c r="T68" s="183"/>
      <c r="U68" s="148"/>
      <c r="V68" s="159" t="str">
        <f>'Wing Bank App'!Z71</f>
        <v>Not Executed</v>
      </c>
    </row>
    <row r="69" ht="59" customHeight="1" spans="1:22">
      <c r="A69" s="119">
        <v>68</v>
      </c>
      <c r="B69" s="120" t="s">
        <v>244</v>
      </c>
      <c r="C69" s="120"/>
      <c r="D69" s="181" t="s">
        <v>236</v>
      </c>
      <c r="E69" s="170" t="s">
        <v>237</v>
      </c>
      <c r="F69" s="154" t="s">
        <v>25</v>
      </c>
      <c r="G69" s="155" t="s">
        <v>245</v>
      </c>
      <c r="H69" s="133" t="s">
        <v>26</v>
      </c>
      <c r="I69" s="184" t="str">
        <f>'Wing Bank App'!I72</f>
        <v>07782087</v>
      </c>
      <c r="J69" s="131" t="s">
        <v>27</v>
      </c>
      <c r="K69" s="133" t="s">
        <v>32</v>
      </c>
      <c r="L69" s="158"/>
      <c r="M69" s="129" t="s">
        <v>246</v>
      </c>
      <c r="N69" s="129" t="s">
        <v>29</v>
      </c>
      <c r="O69" s="128">
        <f>'Wing Bank App'!O72</f>
        <v>120000</v>
      </c>
      <c r="P69" s="126" t="s">
        <v>110</v>
      </c>
      <c r="Q69" s="132">
        <f>'Wing Bank App'!Q72</f>
        <v>533130</v>
      </c>
      <c r="R69" s="126" t="s">
        <v>240</v>
      </c>
      <c r="S69" s="126" t="s">
        <v>28</v>
      </c>
      <c r="T69" s="158"/>
      <c r="U69" s="148"/>
      <c r="V69" s="159" t="str">
        <f>'Wing Bank App'!Z72</f>
        <v>Not Executed</v>
      </c>
    </row>
    <row r="70" ht="59" customHeight="1" spans="1:22">
      <c r="A70" s="119">
        <v>69</v>
      </c>
      <c r="B70" s="120" t="s">
        <v>247</v>
      </c>
      <c r="C70" s="120"/>
      <c r="D70" s="181" t="s">
        <v>236</v>
      </c>
      <c r="E70" s="170" t="s">
        <v>237</v>
      </c>
      <c r="F70" s="154" t="s">
        <v>25</v>
      </c>
      <c r="G70" s="155" t="s">
        <v>248</v>
      </c>
      <c r="H70" s="126" t="s">
        <v>26</v>
      </c>
      <c r="I70" s="184" t="str">
        <f>'Wing Bank App'!I73</f>
        <v>07782083</v>
      </c>
      <c r="J70" s="126" t="s">
        <v>27</v>
      </c>
      <c r="K70" s="126" t="s">
        <v>28</v>
      </c>
      <c r="L70" s="158"/>
      <c r="M70" s="129" t="s">
        <v>246</v>
      </c>
      <c r="N70" s="129" t="s">
        <v>29</v>
      </c>
      <c r="O70" s="128">
        <f>'Wing Bank App'!O73</f>
        <v>30</v>
      </c>
      <c r="P70" s="133" t="s">
        <v>110</v>
      </c>
      <c r="Q70" s="132">
        <f>'Wing Bank App'!Q73</f>
        <v>533129</v>
      </c>
      <c r="R70" s="133" t="s">
        <v>240</v>
      </c>
      <c r="S70" s="133" t="s">
        <v>32</v>
      </c>
      <c r="T70" s="158"/>
      <c r="U70" s="148"/>
      <c r="V70" s="159" t="str">
        <f>'Wing Bank App'!Z73</f>
        <v>Not Executed</v>
      </c>
    </row>
    <row r="71" ht="59" customHeight="1" spans="1:22">
      <c r="A71" s="119">
        <v>70</v>
      </c>
      <c r="B71" s="120" t="s">
        <v>249</v>
      </c>
      <c r="C71" s="120"/>
      <c r="D71" s="181" t="s">
        <v>250</v>
      </c>
      <c r="E71" s="153" t="s">
        <v>251</v>
      </c>
      <c r="F71" s="154" t="s">
        <v>25</v>
      </c>
      <c r="G71" s="172" t="s">
        <v>252</v>
      </c>
      <c r="H71" s="133" t="s">
        <v>30</v>
      </c>
      <c r="I71" s="184" t="str">
        <f>'Wing Bank App'!I74</f>
        <v>103634533</v>
      </c>
      <c r="J71" s="131" t="s">
        <v>31</v>
      </c>
      <c r="K71" s="133" t="s">
        <v>32</v>
      </c>
      <c r="L71" s="157"/>
      <c r="M71" s="129" t="s">
        <v>29</v>
      </c>
      <c r="N71" s="129" t="s">
        <v>29</v>
      </c>
      <c r="O71" s="128">
        <f>'Wing Bank App'!O74</f>
        <v>120000</v>
      </c>
      <c r="P71" s="126" t="s">
        <v>154</v>
      </c>
      <c r="Q71" s="132" t="str">
        <f>'Wing Bank App'!Q74</f>
        <v>00020101021115311974011600520446BONG1000231208129180014mony_rorn@bkrt5204599953031165802KH5909Mony Rorn6010Phnom Penh63042C01</v>
      </c>
      <c r="R71" s="126" t="s">
        <v>253</v>
      </c>
      <c r="S71" s="126" t="s">
        <v>28</v>
      </c>
      <c r="T71" s="158"/>
      <c r="U71" s="148"/>
      <c r="V71" s="159" t="str">
        <f>'Wing Bank App'!Z74</f>
        <v>Not Executed</v>
      </c>
    </row>
    <row r="72" ht="59" customHeight="1" spans="1:22">
      <c r="A72" s="119">
        <v>71</v>
      </c>
      <c r="B72" s="120" t="s">
        <v>254</v>
      </c>
      <c r="C72" s="120"/>
      <c r="D72" s="181" t="s">
        <v>250</v>
      </c>
      <c r="E72" s="153" t="s">
        <v>251</v>
      </c>
      <c r="F72" s="154" t="s">
        <v>25</v>
      </c>
      <c r="G72" s="172" t="s">
        <v>255</v>
      </c>
      <c r="H72" s="126" t="s">
        <v>30</v>
      </c>
      <c r="I72" s="184" t="str">
        <f>'Wing Bank App'!I75</f>
        <v>103634567</v>
      </c>
      <c r="J72" s="126" t="s">
        <v>31</v>
      </c>
      <c r="K72" s="126" t="s">
        <v>28</v>
      </c>
      <c r="L72" s="158"/>
      <c r="M72" s="129" t="s">
        <v>29</v>
      </c>
      <c r="N72" s="129" t="s">
        <v>29</v>
      </c>
      <c r="O72" s="128">
        <f>'Wing Bank App'!O75</f>
        <v>4000</v>
      </c>
      <c r="P72" s="126" t="s">
        <v>154</v>
      </c>
      <c r="Q72" s="132" t="str">
        <f>'Wing Bank App'!Q75</f>
        <v>00020101021115311974011600520446BONG1000231208129180014mony_rorn@bkrt5204599953031165802KH5909Mony Rorn6010Phnom Penh63042C01</v>
      </c>
      <c r="R72" s="126" t="s">
        <v>253</v>
      </c>
      <c r="S72" s="126" t="s">
        <v>28</v>
      </c>
      <c r="T72" s="158"/>
      <c r="U72" s="148"/>
      <c r="V72" s="159" t="str">
        <f>'Wing Bank App'!Z75</f>
        <v>Not Executed</v>
      </c>
    </row>
    <row r="73" ht="59" customHeight="1" spans="1:22">
      <c r="A73" s="119">
        <v>72</v>
      </c>
      <c r="B73" s="120" t="s">
        <v>256</v>
      </c>
      <c r="C73" s="120"/>
      <c r="D73" s="181" t="s">
        <v>250</v>
      </c>
      <c r="E73" s="153" t="s">
        <v>251</v>
      </c>
      <c r="F73" s="154" t="s">
        <v>25</v>
      </c>
      <c r="G73" s="172" t="s">
        <v>257</v>
      </c>
      <c r="H73" s="133" t="s">
        <v>26</v>
      </c>
      <c r="I73" s="184" t="str">
        <f>'Wing Bank App'!I76</f>
        <v>07782087</v>
      </c>
      <c r="J73" s="131" t="s">
        <v>27</v>
      </c>
      <c r="K73" s="133" t="s">
        <v>32</v>
      </c>
      <c r="L73" s="157"/>
      <c r="M73" s="129" t="s">
        <v>29</v>
      </c>
      <c r="N73" s="129" t="s">
        <v>29</v>
      </c>
      <c r="O73" s="128">
        <f>'Wing Bank App'!O76</f>
        <v>120000</v>
      </c>
      <c r="P73" s="126" t="s">
        <v>154</v>
      </c>
      <c r="Q73" s="132" t="str">
        <f>'Wing Bank App'!Q76</f>
        <v>00020101021115311974011600520446BONG1000231208129180014mony_rorn@bkrt5204599953031165802KH5909Mony Rorn6010Phnom Penh63042C01</v>
      </c>
      <c r="R73" s="126" t="s">
        <v>253</v>
      </c>
      <c r="S73" s="126" t="s">
        <v>28</v>
      </c>
      <c r="T73" s="158"/>
      <c r="U73" s="148"/>
      <c r="V73" s="159" t="str">
        <f>'Wing Bank App'!Z76</f>
        <v>Not Executed</v>
      </c>
    </row>
    <row r="74" ht="59" customHeight="1" spans="1:22">
      <c r="A74" s="119">
        <v>73</v>
      </c>
      <c r="B74" s="120" t="s">
        <v>258</v>
      </c>
      <c r="C74" s="120"/>
      <c r="D74" s="181" t="s">
        <v>250</v>
      </c>
      <c r="E74" s="153" t="s">
        <v>251</v>
      </c>
      <c r="F74" s="154" t="s">
        <v>25</v>
      </c>
      <c r="G74" s="172" t="s">
        <v>259</v>
      </c>
      <c r="H74" s="126" t="s">
        <v>26</v>
      </c>
      <c r="I74" s="184" t="str">
        <f>'Wing Bank App'!I77</f>
        <v>07782083</v>
      </c>
      <c r="J74" s="126" t="s">
        <v>27</v>
      </c>
      <c r="K74" s="126" t="s">
        <v>28</v>
      </c>
      <c r="L74" s="158"/>
      <c r="M74" s="129" t="s">
        <v>29</v>
      </c>
      <c r="N74" s="129" t="s">
        <v>29</v>
      </c>
      <c r="O74" s="128">
        <f>'Wing Bank App'!O77</f>
        <v>4000</v>
      </c>
      <c r="P74" s="126" t="s">
        <v>154</v>
      </c>
      <c r="Q74" s="132" t="str">
        <f>'Wing Bank App'!Q77</f>
        <v>00020101021115311974011600520446BONG1000231208129180014mony_rorn@bkrt5204599953031165802KH5909Mony Rorn6010Phnom Penh63042C01</v>
      </c>
      <c r="R74" s="126" t="s">
        <v>253</v>
      </c>
      <c r="S74" s="126" t="s">
        <v>28</v>
      </c>
      <c r="T74" s="158"/>
      <c r="U74" s="148"/>
      <c r="V74" s="159" t="str">
        <f>'Wing Bank App'!Z77</f>
        <v>Not Executed</v>
      </c>
    </row>
  </sheetData>
  <sheetProtection algorithmName="SHA-512" hashValue="sjOWyJ5IGHFjOkHM06WdmK/wstkK7c9m81jtPS7FR8RPu1iUMDCb08Mu4M2lwglZynrU7Wrjflb++Yi5pukfPA==" saltValue="oTrRN1ja6DQVhe2F5C7atg==" spinCount="100000" sheet="1" objects="1"/>
  <autoFilter xmlns:etc="http://www.wps.cn/officeDocument/2017/etCustomData" ref="A1:V74" etc:filterBottomFollowUsedRange="0">
    <extLst/>
  </autoFilter>
  <conditionalFormatting sqref="V3:V74">
    <cfRule type="cellIs" dxfId="0" priority="1" operator="equal">
      <formula>"Not Executed"</formula>
    </cfRule>
    <cfRule type="cellIs" dxfId="1" priority="2" operator="equal">
      <formula>"Skipped"</formula>
    </cfRule>
    <cfRule type="cellIs" dxfId="2" priority="3" operator="equal">
      <formula>"Passed"</formula>
    </cfRule>
    <cfRule type="cellIs" dxfId="3" priority="4" operator="equal">
      <formula>"Failed"</formula>
    </cfRule>
  </conditionalFormatting>
  <dataValidations count="1">
    <dataValidation type="list" allowBlank="1" showInputMessage="1" showErrorMessage="1" sqref="V75:V1048576">
      <formula1>"Passed, Failed, Not Executed, Pending, N/A, NCFL,Skipped"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AI77"/>
  <sheetViews>
    <sheetView tabSelected="1" zoomScale="55" zoomScaleNormal="55" topLeftCell="V1" workbookViewId="0">
      <pane ySplit="4" topLeftCell="A44" activePane="bottomLeft" state="frozen"/>
      <selection/>
      <selection pane="bottomLeft" activeCell="AA55" sqref="AA55"/>
    </sheetView>
  </sheetViews>
  <sheetFormatPr defaultColWidth="10.8269230769231" defaultRowHeight="15.75" customHeight="1"/>
  <cols>
    <col min="1" max="1" width="10.8269230769231" style="107" customWidth="1"/>
    <col min="2" max="2" width="37.4134615384615" style="108" customWidth="1"/>
    <col min="3" max="3" width="20.6730769230769" style="108" customWidth="1"/>
    <col min="4" max="4" width="37.4134615384615" style="109" customWidth="1"/>
    <col min="5" max="5" width="99.2019230769231" style="108" customWidth="1"/>
    <col min="6" max="6" width="37.4134615384615" style="108" customWidth="1"/>
    <col min="7" max="7" width="100.432692307692" style="108" customWidth="1"/>
    <col min="8" max="8" width="38.1538461538462" style="107" customWidth="1"/>
    <col min="9" max="9" width="65.9711538461538" style="109" customWidth="1"/>
    <col min="10" max="10" width="52.1826923076923" style="108" customWidth="1"/>
    <col min="11" max="11" width="41.3557692307692" style="108" customWidth="1"/>
    <col min="12" max="12" width="45.5384615384615" style="108" customWidth="1"/>
    <col min="13" max="13" width="29.5384615384615" style="108" customWidth="1"/>
    <col min="14" max="14" width="30.7692307692308" style="108" customWidth="1"/>
    <col min="15" max="15" width="32.25" style="108" customWidth="1"/>
    <col min="16" max="16" width="39.1346153846154" style="107" customWidth="1"/>
    <col min="17" max="17" width="65.4807692307692" style="110" customWidth="1"/>
    <col min="18" max="18" width="76.0576923076923" style="108" customWidth="1"/>
    <col min="19" max="19" width="33.2307692307692" style="110" customWidth="1"/>
    <col min="20" max="20" width="45.7884615384615" style="108" customWidth="1"/>
    <col min="21" max="21" width="41.1057692307692" style="108" customWidth="1"/>
    <col min="22" max="22" width="67.2019230769231" style="108" customWidth="1"/>
    <col min="23" max="23" width="75.5673076923077" style="108" customWidth="1"/>
    <col min="24" max="24" width="82.2115384615385" style="110" customWidth="1"/>
    <col min="25" max="25" width="37.4134615384615" style="108" customWidth="1"/>
    <col min="26" max="26" width="45.5384615384615" style="108" customWidth="1"/>
    <col min="27" max="27" width="28.7980769230769" style="108" customWidth="1"/>
    <col min="28" max="28" width="34.4615384615385" style="108" customWidth="1"/>
    <col min="29" max="29" width="53.9038461538462" style="108" customWidth="1"/>
    <col min="30" max="30" width="43.0769230769231" style="108" customWidth="1"/>
    <col min="31" max="31" width="28.7980769230769" style="108" customWidth="1"/>
    <col min="32" max="32" width="55.1346153846154" style="108" customWidth="1"/>
    <col min="33" max="16384" width="10.8269230769231" style="108" customWidth="1"/>
  </cols>
  <sheetData>
    <row r="1" ht="21" customHeight="1" spans="1:35">
      <c r="B1" s="111" t="s">
        <v>260</v>
      </c>
      <c r="C1" s="111" t="s">
        <v>261</v>
      </c>
      <c r="D1" s="112" t="s">
        <v>262</v>
      </c>
    </row>
    <row r="2" ht="18.95" customHeight="1" spans="1:35">
      <c r="B2" s="113"/>
      <c r="C2" s="113"/>
      <c r="D2" s="114"/>
    </row>
    <row r="4" ht="30.95" customHeight="1" spans="1:35">
      <c r="A4" s="115" t="s">
        <v>0</v>
      </c>
      <c r="B4" s="115" t="s">
        <v>1</v>
      </c>
      <c r="C4" s="115" t="s">
        <v>2</v>
      </c>
      <c r="D4" s="115" t="s">
        <v>3</v>
      </c>
      <c r="E4" s="115" t="s">
        <v>4</v>
      </c>
      <c r="F4" s="115" t="s">
        <v>5</v>
      </c>
      <c r="G4" s="115" t="s">
        <v>6</v>
      </c>
      <c r="H4" s="115" t="s">
        <v>7</v>
      </c>
      <c r="I4" s="115" t="s">
        <v>8</v>
      </c>
      <c r="J4" s="116" t="s">
        <v>9</v>
      </c>
      <c r="K4" s="115" t="s">
        <v>10</v>
      </c>
      <c r="L4" s="115" t="s">
        <v>11</v>
      </c>
      <c r="M4" s="115" t="s">
        <v>12</v>
      </c>
      <c r="N4" s="115" t="s">
        <v>13</v>
      </c>
      <c r="O4" s="115" t="s">
        <v>14</v>
      </c>
      <c r="P4" s="115" t="s">
        <v>15</v>
      </c>
      <c r="Q4" s="115" t="s">
        <v>16</v>
      </c>
      <c r="R4" s="115" t="s">
        <v>17</v>
      </c>
      <c r="S4" s="115" t="s">
        <v>18</v>
      </c>
      <c r="T4" s="115" t="s">
        <v>263</v>
      </c>
      <c r="U4" s="115" t="s">
        <v>264</v>
      </c>
      <c r="V4" s="117" t="s">
        <v>19</v>
      </c>
      <c r="W4" s="117" t="s">
        <v>20</v>
      </c>
      <c r="X4" s="115" t="s">
        <v>265</v>
      </c>
      <c r="Y4" s="115" t="s">
        <v>266</v>
      </c>
      <c r="Z4" s="115" t="s">
        <v>21</v>
      </c>
      <c r="AA4" s="115" t="s">
        <v>267</v>
      </c>
      <c r="AB4" s="115" t="s">
        <v>268</v>
      </c>
      <c r="AC4" s="115" t="s">
        <v>269</v>
      </c>
      <c r="AD4" s="115" t="s">
        <v>270</v>
      </c>
      <c r="AE4" s="115" t="s">
        <v>271</v>
      </c>
      <c r="AF4" s="118" t="s">
        <v>272</v>
      </c>
    </row>
    <row r="5" ht="59" customHeight="1" spans="1:35">
      <c r="A5" s="119">
        <v>1</v>
      </c>
      <c r="B5" s="120" t="s">
        <v>22</v>
      </c>
      <c r="C5" s="121" t="s">
        <v>273</v>
      </c>
      <c r="D5" s="122" t="s">
        <v>23</v>
      </c>
      <c r="E5" s="123" t="s">
        <v>24</v>
      </c>
      <c r="F5" s="124" t="s">
        <v>25</v>
      </c>
      <c r="G5" s="125" t="s">
        <v>24</v>
      </c>
      <c r="H5" s="126" t="s">
        <v>26</v>
      </c>
      <c r="I5" s="184" t="str">
        <f>IF(H5="PSP",IF(K5="KHR",'Config Data'!$D$13,'Config Data'!$D$14),IF(H5="FC",IF(K5="KHR",'Config Data'!$D$15,'Config Data'!$D$16)))</f>
        <v>07782083</v>
      </c>
      <c r="J5" s="126" t="s">
        <v>27</v>
      </c>
      <c r="K5" s="126" t="s">
        <v>28</v>
      </c>
      <c r="L5" s="128">
        <f>IF(AND(K5="USD",S5="KHR"),30,IF(AND(K5="KHR",S5="USD"),120000,IF(AND(K5="USD",S5="USD"),1,IF(AND(K5="KHR",S5="KHR"),4000,IF(S5="KHR",'Config Data'!$D$21,IF(S5="USD",'Config Data'!$D$23,""))))))</f>
        <v>120000</v>
      </c>
      <c r="M5" s="129" t="s">
        <v>29</v>
      </c>
      <c r="N5" s="129" t="s">
        <v>29</v>
      </c>
      <c r="O5" s="130" t="s">
        <v>274</v>
      </c>
      <c r="P5" s="131" t="s">
        <v>30</v>
      </c>
      <c r="Q5" s="185" t="str">
        <f>IF(P5="PSP",IF(S5="KHR",'Config Data'!$D$13,'Config Data'!$D$14),IF(P5="FC",IF(S5="KHR",'Config Data'!$D$15,'Config Data'!$D$16)))</f>
        <v>103634533</v>
      </c>
      <c r="R5" s="133" t="s">
        <v>31</v>
      </c>
      <c r="S5" s="131" t="s">
        <v>32</v>
      </c>
      <c r="T5" s="130" t="s">
        <v>275</v>
      </c>
      <c r="U5" s="133" t="s">
        <v>260</v>
      </c>
      <c r="V5" s="130" t="s">
        <v>276</v>
      </c>
      <c r="W5" s="130" t="s">
        <v>277</v>
      </c>
      <c r="X5" s="123" t="s">
        <v>278</v>
      </c>
      <c r="Y5" s="130" t="s">
        <v>279</v>
      </c>
      <c r="Z5" s="130" t="s">
        <v>280</v>
      </c>
      <c r="AA5" s="130" t="s">
        <v>281</v>
      </c>
      <c r="AB5" s="130" t="s">
        <v>282</v>
      </c>
      <c r="AC5" s="134" t="str">
        <f>HYPERLINK("Screenshots/Wing To Wing/TCRT-0001","View Screenshots")</f>
        <v>View Screenshots</v>
      </c>
      <c r="AD5" s="135"/>
      <c r="AE5" s="136"/>
      <c r="AF5" s="124"/>
    </row>
    <row r="6" ht="59" customHeight="1" spans="1:35">
      <c r="A6" s="119">
        <v>2</v>
      </c>
      <c r="B6" s="120" t="s">
        <v>33</v>
      </c>
      <c r="C6" s="137"/>
      <c r="D6" s="138"/>
      <c r="E6" s="123" t="s">
        <v>34</v>
      </c>
      <c r="F6" s="124" t="s">
        <v>25</v>
      </c>
      <c r="G6" s="125" t="s">
        <v>34</v>
      </c>
      <c r="H6" s="126" t="s">
        <v>30</v>
      </c>
      <c r="I6" s="184" t="str">
        <f>IF(H6="PSP",IF(K6="KHR",'Config Data'!$D$13,'Config Data'!$D$14),IF(H6="FC",IF(K6="KHR",'Config Data'!$D$15,'Config Data'!$D$16)))</f>
        <v>103634567</v>
      </c>
      <c r="J6" s="126" t="s">
        <v>31</v>
      </c>
      <c r="K6" s="126" t="s">
        <v>28</v>
      </c>
      <c r="L6" s="128">
        <f>IF(AND(K6="USD",S6="KHR"),30,IF(AND(K6="KHR",S6="USD"),120000,IF(AND(K6="USD",S6="USD"),1,IF(AND(K6="KHR",S6="KHR"),4000,IF(S6="KHR",'Config Data'!$D$21,IF(S6="USD",'Config Data'!$D$23,""))))))</f>
        <v>120000</v>
      </c>
      <c r="M6" s="129" t="s">
        <v>29</v>
      </c>
      <c r="N6" s="129" t="s">
        <v>29</v>
      </c>
      <c r="O6" s="130" t="s">
        <v>283</v>
      </c>
      <c r="P6" s="131" t="s">
        <v>26</v>
      </c>
      <c r="Q6" s="185" t="str">
        <f>IF(P6="PSP",IF(S6="KHR",'Config Data'!$D$13,'Config Data'!$D$14),IF(P6="FC",IF(S6="KHR",'Config Data'!$D$15,'Config Data'!$D$16)))</f>
        <v>07782087</v>
      </c>
      <c r="R6" s="133" t="s">
        <v>27</v>
      </c>
      <c r="S6" s="131" t="s">
        <v>32</v>
      </c>
      <c r="T6" s="130" t="s">
        <v>275</v>
      </c>
      <c r="U6" s="133" t="s">
        <v>260</v>
      </c>
      <c r="V6" s="130" t="s">
        <v>284</v>
      </c>
      <c r="W6" s="130" t="s">
        <v>285</v>
      </c>
      <c r="X6" s="123" t="s">
        <v>278</v>
      </c>
      <c r="Y6" s="130" t="s">
        <v>279</v>
      </c>
      <c r="Z6" s="130" t="s">
        <v>280</v>
      </c>
      <c r="AA6" s="130" t="s">
        <v>281</v>
      </c>
      <c r="AB6" s="130" t="s">
        <v>282</v>
      </c>
      <c r="AC6" s="134" t="str">
        <f>HYPERLINK("Screenshots/Wing To Wing/TCRT-0002","View Screenshots")</f>
        <v>View Screenshots</v>
      </c>
      <c r="AD6" s="139"/>
      <c r="AE6" s="136"/>
      <c r="AF6" s="124"/>
    </row>
    <row r="7" ht="59" customHeight="1" spans="1:35">
      <c r="A7" s="119">
        <v>3</v>
      </c>
      <c r="B7" s="120" t="s">
        <v>35</v>
      </c>
      <c r="C7" s="137"/>
      <c r="D7" s="138"/>
      <c r="E7" s="123" t="s">
        <v>36</v>
      </c>
      <c r="F7" s="124" t="s">
        <v>25</v>
      </c>
      <c r="G7" s="125" t="s">
        <v>36</v>
      </c>
      <c r="H7" s="133" t="s">
        <v>26</v>
      </c>
      <c r="I7" s="184" t="str">
        <f>IF(H7="PSP",IF(K7="KHR",'Config Data'!$D$13,'Config Data'!$D$14),IF(H7="FC",IF(K7="KHR",'Config Data'!$D$15,'Config Data'!$D$16)))</f>
        <v>07782087</v>
      </c>
      <c r="J7" s="133" t="s">
        <v>27</v>
      </c>
      <c r="K7" s="133" t="s">
        <v>32</v>
      </c>
      <c r="L7" s="128">
        <f>IF(AND(K7="USD",S7="KHR"),30,IF(AND(K7="KHR",S7="USD"),120000,IF(AND(K7="USD",S7="USD"),1,IF(AND(K7="KHR",S7="KHR"),4000,IF(S7="KHR",'Config Data'!$D$21,IF(S7="USD",'Config Data'!$D$23,""))))))</f>
        <v>30</v>
      </c>
      <c r="M7" s="129" t="s">
        <v>29</v>
      </c>
      <c r="N7" s="129" t="s">
        <v>29</v>
      </c>
      <c r="O7" s="130" t="s">
        <v>286</v>
      </c>
      <c r="P7" s="126" t="s">
        <v>30</v>
      </c>
      <c r="Q7" s="185" t="str">
        <f>IF(P7="PSP",IF(S7="KHR",'Config Data'!$D$13,'Config Data'!$D$14),IF(P7="FC",IF(S7="KHR",'Config Data'!$D$15,'Config Data'!$D$16)))</f>
        <v>103634567</v>
      </c>
      <c r="R7" s="126" t="s">
        <v>31</v>
      </c>
      <c r="S7" s="126" t="s">
        <v>28</v>
      </c>
      <c r="T7" s="130" t="s">
        <v>287</v>
      </c>
      <c r="U7" s="133" t="s">
        <v>261</v>
      </c>
      <c r="V7" s="130" t="s">
        <v>288</v>
      </c>
      <c r="W7" s="130" t="s">
        <v>289</v>
      </c>
      <c r="X7" s="123" t="s">
        <v>278</v>
      </c>
      <c r="Y7" s="130" t="s">
        <v>279</v>
      </c>
      <c r="Z7" s="130" t="s">
        <v>280</v>
      </c>
      <c r="AA7" s="130" t="s">
        <v>281</v>
      </c>
      <c r="AB7" s="130" t="s">
        <v>282</v>
      </c>
      <c r="AC7" s="134" t="str">
        <f>HYPERLINK("Screenshots/Wing To Wing/TCRT-0003","View Screenshots")</f>
        <v>View Screenshots</v>
      </c>
      <c r="AD7" s="139"/>
      <c r="AE7" s="136"/>
      <c r="AF7" s="124"/>
      <c r="AI7" s="108" t="s">
        <v>282</v>
      </c>
    </row>
    <row r="8" ht="59" customHeight="1" spans="1:35">
      <c r="A8" s="119">
        <v>4</v>
      </c>
      <c r="B8" s="120" t="s">
        <v>37</v>
      </c>
      <c r="C8" s="137"/>
      <c r="D8" s="138"/>
      <c r="E8" s="123" t="s">
        <v>38</v>
      </c>
      <c r="F8" s="124" t="s">
        <v>25</v>
      </c>
      <c r="G8" s="125" t="s">
        <v>38</v>
      </c>
      <c r="H8" s="133" t="s">
        <v>30</v>
      </c>
      <c r="I8" s="184" t="str">
        <f>IF(H8="PSP",IF(K8="KHR",'Config Data'!$D$13,'Config Data'!$D$14),IF(H8="FC",IF(K8="KHR",'Config Data'!$D$15,'Config Data'!$D$16)))</f>
        <v>103634533</v>
      </c>
      <c r="J8" s="133" t="s">
        <v>31</v>
      </c>
      <c r="K8" s="133" t="s">
        <v>32</v>
      </c>
      <c r="L8" s="128">
        <f>IF(AND(K8="USD",S8="KHR"),30,IF(AND(K8="KHR",S8="USD"),120000,IF(AND(K8="USD",S8="USD"),1,IF(AND(K8="KHR",S8="KHR"),4000,IF(S8="KHR",'Config Data'!$D$21,IF(S8="USD",'Config Data'!$D$23,""))))))</f>
        <v>30</v>
      </c>
      <c r="M8" s="129" t="s">
        <v>29</v>
      </c>
      <c r="N8" s="129" t="s">
        <v>29</v>
      </c>
      <c r="O8" s="130" t="s">
        <v>286</v>
      </c>
      <c r="P8" s="126" t="s">
        <v>26</v>
      </c>
      <c r="Q8" s="185" t="str">
        <f>IF(P8="PSP",IF(S8="KHR",'Config Data'!$D$13,'Config Data'!$D$14),IF(P8="FC",IF(S8="KHR",'Config Data'!$D$15,'Config Data'!$D$16)))</f>
        <v>07782083</v>
      </c>
      <c r="R8" s="126" t="s">
        <v>27</v>
      </c>
      <c r="S8" s="126" t="s">
        <v>28</v>
      </c>
      <c r="T8" s="130" t="s">
        <v>287</v>
      </c>
      <c r="U8" s="133" t="s">
        <v>261</v>
      </c>
      <c r="V8" s="130" t="s">
        <v>290</v>
      </c>
      <c r="W8" s="130" t="s">
        <v>291</v>
      </c>
      <c r="X8" s="123" t="s">
        <v>278</v>
      </c>
      <c r="Y8" s="130" t="s">
        <v>279</v>
      </c>
      <c r="Z8" s="130" t="s">
        <v>280</v>
      </c>
      <c r="AA8" s="130" t="s">
        <v>281</v>
      </c>
      <c r="AB8" s="130" t="s">
        <v>282</v>
      </c>
      <c r="AC8" s="134" t="str">
        <f>HYPERLINK("Screenshots/Wing To Wing/TCRT-0004","View Screenshots")</f>
        <v>View Screenshots</v>
      </c>
      <c r="AD8" s="139"/>
      <c r="AE8" s="136"/>
      <c r="AF8" s="124"/>
    </row>
    <row r="9" ht="59" customHeight="1" spans="1:35">
      <c r="A9" s="119">
        <v>5</v>
      </c>
      <c r="B9" s="120" t="s">
        <v>39</v>
      </c>
      <c r="C9" s="137"/>
      <c r="D9" s="138"/>
      <c r="E9" s="123" t="s">
        <v>40</v>
      </c>
      <c r="F9" s="124" t="s">
        <v>25</v>
      </c>
      <c r="G9" s="125" t="s">
        <v>40</v>
      </c>
      <c r="H9" s="126" t="s">
        <v>26</v>
      </c>
      <c r="I9" s="184" t="str">
        <f>IF(H9="PSP",IF(K9="KHR",'Config Data'!$D$13,'Config Data'!$D$14),IF(H9="FC",IF(K9="KHR",'Config Data'!$D$15,'Config Data'!$D$16)))</f>
        <v>07782083</v>
      </c>
      <c r="J9" s="126" t="s">
        <v>27</v>
      </c>
      <c r="K9" s="126" t="s">
        <v>28</v>
      </c>
      <c r="L9" s="128">
        <f>IF(AND(K9="USD",S9="KHR"),30,IF(AND(K9="KHR",S9="USD"),120000,IF(AND(K9="USD",S9="USD"),1,IF(AND(K9="KHR",S9="KHR"),4000,IF(S9="KHR",'Config Data'!$D$21,IF(S9="USD",'Config Data'!$D$23,""))))))</f>
        <v>120000</v>
      </c>
      <c r="M9" s="129" t="s">
        <v>29</v>
      </c>
      <c r="N9" s="129" t="s">
        <v>29</v>
      </c>
      <c r="O9" s="130" t="s">
        <v>283</v>
      </c>
      <c r="P9" s="131" t="s">
        <v>26</v>
      </c>
      <c r="Q9" s="185" t="str">
        <f>IF(P9="PSP",IF(S9="KHR",'Config Data'!$D$13,'Config Data'!$D$14),IF(P9="FC",IF(S9="KHR",'Config Data'!$D$15,'Config Data'!$D$16)))</f>
        <v>07782087</v>
      </c>
      <c r="R9" s="133" t="s">
        <v>27</v>
      </c>
      <c r="S9" s="131" t="s">
        <v>32</v>
      </c>
      <c r="T9" s="130" t="s">
        <v>275</v>
      </c>
      <c r="U9" s="133" t="s">
        <v>260</v>
      </c>
      <c r="V9" s="130" t="s">
        <v>292</v>
      </c>
      <c r="W9" s="130" t="s">
        <v>293</v>
      </c>
      <c r="X9" s="123" t="s">
        <v>278</v>
      </c>
      <c r="Y9" s="130" t="s">
        <v>279</v>
      </c>
      <c r="Z9" s="130" t="s">
        <v>280</v>
      </c>
      <c r="AA9" s="130" t="s">
        <v>281</v>
      </c>
      <c r="AB9" s="130" t="s">
        <v>282</v>
      </c>
      <c r="AC9" s="134" t="str">
        <f>HYPERLINK("Screenshots/Wing To Wing/TCRT-0005","View Screenshots")</f>
        <v>View Screenshots</v>
      </c>
      <c r="AD9" s="139"/>
      <c r="AE9" s="136"/>
      <c r="AF9" s="124"/>
    </row>
    <row r="10" ht="59" customHeight="1" spans="1:35">
      <c r="A10" s="119">
        <v>6</v>
      </c>
      <c r="B10" s="120" t="s">
        <v>41</v>
      </c>
      <c r="C10" s="137"/>
      <c r="D10" s="138"/>
      <c r="E10" s="123" t="s">
        <v>42</v>
      </c>
      <c r="F10" s="124" t="s">
        <v>25</v>
      </c>
      <c r="G10" s="125" t="s">
        <v>42</v>
      </c>
      <c r="H10" s="126" t="s">
        <v>30</v>
      </c>
      <c r="I10" s="184" t="str">
        <f>IF(H10="PSP",IF(K10="KHR",'Config Data'!$D$13,'Config Data'!$D$14),IF(H10="FC",IF(K10="KHR",'Config Data'!$D$15,'Config Data'!$D$16)))</f>
        <v>103634567</v>
      </c>
      <c r="J10" s="126" t="s">
        <v>31</v>
      </c>
      <c r="K10" s="126" t="s">
        <v>28</v>
      </c>
      <c r="L10" s="128">
        <f>IF(AND(K10="USD",S10="KHR"),30,IF(AND(K10="KHR",S10="USD"),120000,IF(AND(K10="USD",S10="USD"),1,IF(AND(K10="KHR",S10="KHR"),4000,IF(S10="KHR",'Config Data'!$D$21,IF(S10="USD",'Config Data'!$D$23,""))))))</f>
        <v>120000</v>
      </c>
      <c r="M10" s="129" t="s">
        <v>29</v>
      </c>
      <c r="N10" s="129" t="s">
        <v>29</v>
      </c>
      <c r="O10" s="130" t="s">
        <v>274</v>
      </c>
      <c r="P10" s="131" t="s">
        <v>30</v>
      </c>
      <c r="Q10" s="185" t="str">
        <f>IF(P10="PSP",IF(S10="KHR",'Config Data'!$D$13,'Config Data'!$D$14),IF(P10="FC",IF(S10="KHR",'Config Data'!$D$15,'Config Data'!$D$16)))</f>
        <v>103634533</v>
      </c>
      <c r="R10" s="133" t="s">
        <v>31</v>
      </c>
      <c r="S10" s="131" t="s">
        <v>32</v>
      </c>
      <c r="T10" s="130" t="s">
        <v>275</v>
      </c>
      <c r="U10" s="133" t="s">
        <v>260</v>
      </c>
      <c r="V10" s="130" t="s">
        <v>294</v>
      </c>
      <c r="W10" s="130" t="s">
        <v>295</v>
      </c>
      <c r="X10" s="123" t="s">
        <v>278</v>
      </c>
      <c r="Y10" s="130" t="s">
        <v>279</v>
      </c>
      <c r="Z10" s="130" t="s">
        <v>280</v>
      </c>
      <c r="AA10" s="130" t="s">
        <v>281</v>
      </c>
      <c r="AB10" s="130" t="s">
        <v>282</v>
      </c>
      <c r="AC10" s="134" t="str">
        <f>HYPERLINK("Screenshots/Wing To Wing/TCRT-0006","View Screenshots")</f>
        <v>View Screenshots</v>
      </c>
      <c r="AD10" s="139"/>
      <c r="AE10" s="136"/>
      <c r="AF10" s="124"/>
    </row>
    <row r="11" ht="59" customHeight="1" spans="1:35">
      <c r="A11" s="119">
        <v>7</v>
      </c>
      <c r="B11" s="120" t="s">
        <v>43</v>
      </c>
      <c r="C11" s="137"/>
      <c r="D11" s="138"/>
      <c r="E11" s="123" t="s">
        <v>44</v>
      </c>
      <c r="F11" s="124" t="s">
        <v>25</v>
      </c>
      <c r="G11" s="125" t="s">
        <v>44</v>
      </c>
      <c r="H11" s="133" t="s">
        <v>26</v>
      </c>
      <c r="I11" s="184" t="str">
        <f>IF(H11="PSP",IF(K11="KHR",'Config Data'!$D$13,'Config Data'!$D$14),IF(H11="FC",IF(K11="KHR",'Config Data'!$D$15,'Config Data'!$D$16)))</f>
        <v>07782087</v>
      </c>
      <c r="J11" s="133" t="s">
        <v>27</v>
      </c>
      <c r="K11" s="133" t="s">
        <v>32</v>
      </c>
      <c r="L11" s="128">
        <f>IF(AND(K11="USD",S11="KHR"),30,IF(AND(K11="KHR",S11="USD"),120000,IF(AND(K11="USD",S11="USD"),1,IF(AND(K11="KHR",S11="KHR"),4000,IF(S11="KHR",'Config Data'!$D$21,IF(S11="USD",'Config Data'!$D$23,""))))))</f>
        <v>30</v>
      </c>
      <c r="M11" s="129" t="s">
        <v>29</v>
      </c>
      <c r="N11" s="129" t="s">
        <v>29</v>
      </c>
      <c r="O11" s="130" t="s">
        <v>286</v>
      </c>
      <c r="P11" s="126" t="s">
        <v>26</v>
      </c>
      <c r="Q11" s="185" t="str">
        <f>IF(P11="PSP",IF(S11="KHR",'Config Data'!$D$13,'Config Data'!$D$14),IF(P11="FC",IF(S11="KHR",'Config Data'!$D$15,'Config Data'!$D$16)))</f>
        <v>07782083</v>
      </c>
      <c r="R11" s="126" t="s">
        <v>27</v>
      </c>
      <c r="S11" s="126" t="s">
        <v>28</v>
      </c>
      <c r="T11" s="130" t="s">
        <v>287</v>
      </c>
      <c r="U11" s="133" t="s">
        <v>261</v>
      </c>
      <c r="V11" s="130" t="s">
        <v>296</v>
      </c>
      <c r="W11" s="130" t="s">
        <v>297</v>
      </c>
      <c r="X11" s="123" t="s">
        <v>278</v>
      </c>
      <c r="Y11" s="130" t="s">
        <v>279</v>
      </c>
      <c r="Z11" s="130" t="s">
        <v>280</v>
      </c>
      <c r="AA11" s="130" t="s">
        <v>281</v>
      </c>
      <c r="AB11" s="130" t="s">
        <v>282</v>
      </c>
      <c r="AC11" s="134" t="str">
        <f>HYPERLINK("Screenshots/Wing To Wing/TCRT-0007","View Screenshots")</f>
        <v>View Screenshots</v>
      </c>
      <c r="AD11" s="139"/>
      <c r="AE11" s="136"/>
      <c r="AF11" s="124"/>
    </row>
    <row r="12" ht="59" customHeight="1" spans="1:35">
      <c r="A12" s="119">
        <v>8</v>
      </c>
      <c r="B12" s="120" t="s">
        <v>45</v>
      </c>
      <c r="C12" s="137"/>
      <c r="D12" s="138"/>
      <c r="E12" s="123" t="s">
        <v>46</v>
      </c>
      <c r="F12" s="124" t="s">
        <v>25</v>
      </c>
      <c r="G12" s="125" t="s">
        <v>46</v>
      </c>
      <c r="H12" s="133" t="s">
        <v>30</v>
      </c>
      <c r="I12" s="184" t="str">
        <f>IF(H12="PSP",IF(K12="KHR",'Config Data'!$D$13,'Config Data'!$D$14),IF(H12="FC",IF(K12="KHR",'Config Data'!$D$15,'Config Data'!$D$16)))</f>
        <v>103634533</v>
      </c>
      <c r="J12" s="133" t="s">
        <v>27</v>
      </c>
      <c r="K12" s="133" t="s">
        <v>32</v>
      </c>
      <c r="L12" s="128">
        <f>IF(AND(K12="USD",S12="KHR"),30,IF(AND(K12="KHR",S12="USD"),120000,IF(AND(K12="USD",S12="USD"),1,IF(AND(K12="KHR",S12="KHR"),4000,IF(S12="KHR",'Config Data'!$D$21,IF(S12="USD",'Config Data'!$D$23,""))))))</f>
        <v>30</v>
      </c>
      <c r="M12" s="129" t="s">
        <v>29</v>
      </c>
      <c r="N12" s="129" t="s">
        <v>29</v>
      </c>
      <c r="O12" s="130" t="s">
        <v>286</v>
      </c>
      <c r="P12" s="126" t="s">
        <v>30</v>
      </c>
      <c r="Q12" s="185" t="str">
        <f>IF(P12="PSP",IF(S12="KHR",'Config Data'!$D$13,'Config Data'!$D$14),IF(P12="FC",IF(S12="KHR",'Config Data'!$D$15,'Config Data'!$D$16)))</f>
        <v>103634567</v>
      </c>
      <c r="R12" s="126" t="s">
        <v>31</v>
      </c>
      <c r="S12" s="126" t="s">
        <v>28</v>
      </c>
      <c r="T12" s="130" t="s">
        <v>287</v>
      </c>
      <c r="U12" s="133" t="s">
        <v>261</v>
      </c>
      <c r="V12" s="130" t="s">
        <v>298</v>
      </c>
      <c r="W12" s="130" t="s">
        <v>299</v>
      </c>
      <c r="X12" s="123" t="s">
        <v>278</v>
      </c>
      <c r="Y12" s="130" t="s">
        <v>279</v>
      </c>
      <c r="Z12" s="130" t="s">
        <v>280</v>
      </c>
      <c r="AA12" s="130" t="s">
        <v>281</v>
      </c>
      <c r="AB12" s="130" t="s">
        <v>282</v>
      </c>
      <c r="AC12" s="134" t="str">
        <f>HYPERLINK("Screenshots/Wing To Wing/TCRT-0008","View Screenshots")</f>
        <v>View Screenshots</v>
      </c>
      <c r="AD12" s="139"/>
      <c r="AE12" s="136"/>
      <c r="AF12" s="124"/>
    </row>
    <row r="13" ht="59" customHeight="1" spans="1:35">
      <c r="A13" s="119">
        <v>9</v>
      </c>
      <c r="B13" s="120" t="s">
        <v>47</v>
      </c>
      <c r="C13" s="137"/>
      <c r="D13" s="138"/>
      <c r="E13" s="140" t="s">
        <v>48</v>
      </c>
      <c r="F13" s="124" t="s">
        <v>25</v>
      </c>
      <c r="G13" s="141" t="s">
        <v>48</v>
      </c>
      <c r="H13" s="133" t="s">
        <v>26</v>
      </c>
      <c r="I13" s="184" t="str">
        <f>IF(H13="PSP",IF(K13="KHR",'Config Data'!$D$13,'Config Data'!$D$14),IF(H13="FC",IF(K13="KHR",'Config Data'!$D$15,'Config Data'!$D$16)))</f>
        <v>07782087</v>
      </c>
      <c r="J13" s="133" t="s">
        <v>31</v>
      </c>
      <c r="K13" s="133" t="s">
        <v>32</v>
      </c>
      <c r="L13" s="128">
        <f>IF(AND(K13="USD",S13="KHR"),30,IF(AND(K13="KHR",S13="USD"),120000,IF(AND(K13="USD",S13="USD"),1,IF(AND(K13="KHR",S13="KHR"),4000,IF(S13="KHR",'Config Data'!$D$21,IF(S13="USD",'Config Data'!$D$23,""))))))</f>
        <v>1</v>
      </c>
      <c r="M13" s="129" t="s">
        <v>29</v>
      </c>
      <c r="N13" s="129" t="s">
        <v>29</v>
      </c>
      <c r="O13" s="130" t="s">
        <v>300</v>
      </c>
      <c r="P13" s="133" t="s">
        <v>30</v>
      </c>
      <c r="Q13" s="185" t="str">
        <f>IF(P13="PSP",IF(S13="KHR",'Config Data'!$D$13,'Config Data'!$D$14),IF(P13="FC",IF(S13="KHR",'Config Data'!$D$15,'Config Data'!$D$16)))</f>
        <v>103634533</v>
      </c>
      <c r="R13" s="133" t="s">
        <v>31</v>
      </c>
      <c r="S13" s="133" t="s">
        <v>32</v>
      </c>
      <c r="T13" s="130" t="s">
        <v>282</v>
      </c>
      <c r="U13" s="131" t="s">
        <v>60</v>
      </c>
      <c r="V13" s="130" t="s">
        <v>301</v>
      </c>
      <c r="W13" s="130" t="s">
        <v>302</v>
      </c>
      <c r="X13" s="123" t="s">
        <v>278</v>
      </c>
      <c r="Y13" s="130" t="s">
        <v>279</v>
      </c>
      <c r="Z13" s="130" t="s">
        <v>280</v>
      </c>
      <c r="AA13" s="130" t="s">
        <v>281</v>
      </c>
      <c r="AB13" s="130" t="s">
        <v>282</v>
      </c>
      <c r="AC13" s="134" t="str">
        <f>HYPERLINK("Screenshots/Wing To Wing/TCRT-0009","View Screenshots")</f>
        <v>View Screenshots</v>
      </c>
      <c r="AD13" s="139"/>
      <c r="AE13" s="136"/>
      <c r="AF13" s="124"/>
    </row>
    <row r="14" ht="59" customHeight="1" spans="1:35">
      <c r="A14" s="119">
        <v>10</v>
      </c>
      <c r="B14" s="120" t="s">
        <v>49</v>
      </c>
      <c r="C14" s="137"/>
      <c r="D14" s="138"/>
      <c r="E14" s="140" t="s">
        <v>50</v>
      </c>
      <c r="F14" s="124" t="s">
        <v>25</v>
      </c>
      <c r="G14" s="141" t="s">
        <v>50</v>
      </c>
      <c r="H14" s="126" t="s">
        <v>26</v>
      </c>
      <c r="I14" s="184" t="str">
        <f>IF(H14="PSP",IF(K14="KHR",'Config Data'!$D$13,'Config Data'!$D$14),IF(H14="FC",IF(K14="KHR",'Config Data'!$D$15,'Config Data'!$D$16)))</f>
        <v>07782083</v>
      </c>
      <c r="J14" s="126" t="s">
        <v>27</v>
      </c>
      <c r="K14" s="126" t="s">
        <v>28</v>
      </c>
      <c r="L14" s="128">
        <f>IF(AND(K14="USD",S14="KHR"),30,IF(AND(K14="KHR",S14="USD"),120000,IF(AND(K14="USD",S14="USD"),1,IF(AND(K14="KHR",S14="KHR"),4000,IF(S14="KHR",'Config Data'!$D$21,IF(S14="USD",'Config Data'!$D$23,""))))))</f>
        <v>4000</v>
      </c>
      <c r="M14" s="129" t="s">
        <v>29</v>
      </c>
      <c r="N14" s="129" t="s">
        <v>29</v>
      </c>
      <c r="O14" s="130" t="s">
        <v>303</v>
      </c>
      <c r="P14" s="126" t="s">
        <v>30</v>
      </c>
      <c r="Q14" s="185" t="str">
        <f>IF(P14="PSP",IF(S14="KHR",'Config Data'!$D$13,'Config Data'!$D$14),IF(P14="FC",IF(S14="KHR",'Config Data'!$D$15,'Config Data'!$D$16)))</f>
        <v>103634567</v>
      </c>
      <c r="R14" s="126" t="s">
        <v>31</v>
      </c>
      <c r="S14" s="126" t="s">
        <v>28</v>
      </c>
      <c r="T14" s="130" t="s">
        <v>282</v>
      </c>
      <c r="U14" s="131" t="s">
        <v>60</v>
      </c>
      <c r="V14" s="130" t="s">
        <v>304</v>
      </c>
      <c r="W14" s="130" t="s">
        <v>305</v>
      </c>
      <c r="X14" s="123" t="s">
        <v>278</v>
      </c>
      <c r="Y14" s="130" t="s">
        <v>279</v>
      </c>
      <c r="Z14" s="130" t="s">
        <v>280</v>
      </c>
      <c r="AA14" s="130" t="s">
        <v>281</v>
      </c>
      <c r="AB14" s="130" t="s">
        <v>282</v>
      </c>
      <c r="AC14" s="134" t="str">
        <f>HYPERLINK("Screenshots/Wing To Wing/TCRT-0010","View Screenshots")</f>
        <v>View Screenshots</v>
      </c>
      <c r="AD14" s="139"/>
      <c r="AE14" s="136"/>
      <c r="AF14" s="124"/>
    </row>
    <row r="15" ht="59" customHeight="1" spans="1:35">
      <c r="A15" s="119">
        <v>11</v>
      </c>
      <c r="B15" s="120" t="s">
        <v>51</v>
      </c>
      <c r="C15" s="137"/>
      <c r="D15" s="138"/>
      <c r="E15" s="140" t="s">
        <v>52</v>
      </c>
      <c r="F15" s="124" t="s">
        <v>25</v>
      </c>
      <c r="G15" s="141" t="s">
        <v>52</v>
      </c>
      <c r="H15" s="133" t="s">
        <v>30</v>
      </c>
      <c r="I15" s="184" t="str">
        <f>IF(H15="PSP",IF(K15="KHR",'Config Data'!$D$13,'Config Data'!$D$14),IF(H15="FC",IF(K15="KHR",'Config Data'!$D$15,'Config Data'!$D$16)))</f>
        <v>103634533</v>
      </c>
      <c r="J15" s="133" t="s">
        <v>31</v>
      </c>
      <c r="K15" s="133" t="s">
        <v>32</v>
      </c>
      <c r="L15" s="128">
        <f>IF(AND(K15="USD",S15="KHR"),30,IF(AND(K15="KHR",S15="USD"),120000,IF(AND(K15="USD",S15="USD"),1,IF(AND(K15="KHR",S15="KHR"),4000,IF(S15="KHR",'Config Data'!$D$21,IF(S15="USD",'Config Data'!$D$23,""))))))</f>
        <v>1</v>
      </c>
      <c r="M15" s="129" t="s">
        <v>29</v>
      </c>
      <c r="N15" s="129" t="s">
        <v>29</v>
      </c>
      <c r="O15" s="130" t="s">
        <v>300</v>
      </c>
      <c r="P15" s="133" t="s">
        <v>26</v>
      </c>
      <c r="Q15" s="185" t="str">
        <f>IF(P15="PSP",IF(S15="KHR",'Config Data'!$D$13,'Config Data'!$D$14),IF(P15="FC",IF(S15="KHR",'Config Data'!$D$15,'Config Data'!$D$16)))</f>
        <v>07782087</v>
      </c>
      <c r="R15" s="133" t="s">
        <v>27</v>
      </c>
      <c r="S15" s="131" t="s">
        <v>32</v>
      </c>
      <c r="T15" s="130" t="s">
        <v>282</v>
      </c>
      <c r="U15" s="131" t="s">
        <v>60</v>
      </c>
      <c r="V15" s="130" t="s">
        <v>306</v>
      </c>
      <c r="W15" s="130" t="s">
        <v>307</v>
      </c>
      <c r="X15" s="123" t="s">
        <v>278</v>
      </c>
      <c r="Y15" s="130" t="s">
        <v>279</v>
      </c>
      <c r="Z15" s="130" t="s">
        <v>280</v>
      </c>
      <c r="AA15" s="130" t="s">
        <v>281</v>
      </c>
      <c r="AB15" s="130" t="s">
        <v>282</v>
      </c>
      <c r="AC15" s="134" t="str">
        <f>HYPERLINK("Screenshots/Wing To Wing/TCRT-0011","View Screenshots")</f>
        <v>View Screenshots</v>
      </c>
      <c r="AD15" s="139"/>
      <c r="AE15" s="136"/>
      <c r="AF15" s="124"/>
    </row>
    <row r="16" ht="59" customHeight="1" spans="1:35">
      <c r="A16" s="119">
        <v>12</v>
      </c>
      <c r="B16" s="120" t="s">
        <v>53</v>
      </c>
      <c r="C16" s="137"/>
      <c r="D16" s="142"/>
      <c r="E16" s="140" t="s">
        <v>54</v>
      </c>
      <c r="F16" s="124" t="s">
        <v>25</v>
      </c>
      <c r="G16" s="141" t="s">
        <v>54</v>
      </c>
      <c r="H16" s="126" t="s">
        <v>30</v>
      </c>
      <c r="I16" s="184" t="str">
        <f>IF(H16="PSP",IF(K16="KHR",'Config Data'!$D$13,'Config Data'!$D$14),IF(H16="FC",IF(K16="KHR",'Config Data'!$D$15,'Config Data'!$D$16)))</f>
        <v>103634567</v>
      </c>
      <c r="J16" s="126" t="s">
        <v>31</v>
      </c>
      <c r="K16" s="126" t="s">
        <v>28</v>
      </c>
      <c r="L16" s="128">
        <f>IF(AND(K16="USD",S16="KHR"),30,IF(AND(K16="KHR",S16="USD"),120000,IF(AND(K16="USD",S16="USD"),1,IF(AND(K16="KHR",S16="KHR"),4000,IF(S16="KHR",'Config Data'!$D$21,IF(S16="USD",'Config Data'!$D$23,""))))))</f>
        <v>4000</v>
      </c>
      <c r="M16" s="129" t="s">
        <v>29</v>
      </c>
      <c r="N16" s="129" t="s">
        <v>29</v>
      </c>
      <c r="O16" s="130" t="s">
        <v>303</v>
      </c>
      <c r="P16" s="126" t="s">
        <v>26</v>
      </c>
      <c r="Q16" s="185" t="str">
        <f>IF(P16="PSP",IF(S16="KHR",'Config Data'!$D$13,'Config Data'!$D$14),IF(P16="FC",IF(S16="KHR",'Config Data'!$D$15,'Config Data'!$D$16)))</f>
        <v>07782083</v>
      </c>
      <c r="R16" s="126" t="s">
        <v>27</v>
      </c>
      <c r="S16" s="126" t="s">
        <v>28</v>
      </c>
      <c r="T16" s="130" t="s">
        <v>282</v>
      </c>
      <c r="U16" s="131" t="s">
        <v>60</v>
      </c>
      <c r="V16" s="130" t="s">
        <v>308</v>
      </c>
      <c r="W16" s="130" t="s">
        <v>309</v>
      </c>
      <c r="X16" s="123" t="s">
        <v>278</v>
      </c>
      <c r="Y16" s="130" t="s">
        <v>279</v>
      </c>
      <c r="Z16" s="130" t="s">
        <v>280</v>
      </c>
      <c r="AA16" s="130" t="s">
        <v>281</v>
      </c>
      <c r="AB16" s="130" t="s">
        <v>282</v>
      </c>
      <c r="AC16" s="134" t="str">
        <f>HYPERLINK("Screenshots/Wing To Wing/TCRT-0012","View Screenshots")</f>
        <v>View Screenshots</v>
      </c>
      <c r="AD16" s="139"/>
      <c r="AE16" s="136"/>
      <c r="AF16" s="124"/>
    </row>
    <row r="17" ht="59" customHeight="1" spans="1:32">
      <c r="A17" s="119">
        <v>13</v>
      </c>
      <c r="B17" s="120" t="s">
        <v>55</v>
      </c>
      <c r="C17" s="137"/>
      <c r="D17" s="122" t="s">
        <v>56</v>
      </c>
      <c r="E17" s="123" t="s">
        <v>57</v>
      </c>
      <c r="F17" s="124" t="s">
        <v>25</v>
      </c>
      <c r="G17" s="125" t="s">
        <v>57</v>
      </c>
      <c r="H17" s="133" t="s">
        <v>26</v>
      </c>
      <c r="I17" s="184" t="str">
        <f>IF(H17="PSP",IF(K17="KHR",'Config Data'!$D$13,'Config Data'!$D$14),IF(H17="FC",IF(K17="KHR",'Config Data'!$D$15,'Config Data'!$D$16)))</f>
        <v>07782087</v>
      </c>
      <c r="J17" s="131" t="s">
        <v>27</v>
      </c>
      <c r="K17" s="131" t="s">
        <v>32</v>
      </c>
      <c r="L17" s="128">
        <f>IF(K17="KHR",'Config Data'!$D$21,IF(K17="USD",'Config Data'!$D$23,""))</f>
        <v>30</v>
      </c>
      <c r="M17" s="130" t="s">
        <v>310</v>
      </c>
      <c r="N17" s="129" t="s">
        <v>29</v>
      </c>
      <c r="O17" s="130" t="s">
        <v>311</v>
      </c>
      <c r="P17" s="133" t="s">
        <v>59</v>
      </c>
      <c r="Q17" s="185" t="str">
        <f>'Config Data'!D$17</f>
        <v>077989682</v>
      </c>
      <c r="R17" s="131" t="s">
        <v>60</v>
      </c>
      <c r="S17" s="133" t="s">
        <v>60</v>
      </c>
      <c r="T17" s="130" t="s">
        <v>282</v>
      </c>
      <c r="U17" s="131" t="s">
        <v>60</v>
      </c>
      <c r="V17" s="130" t="s">
        <v>312</v>
      </c>
      <c r="W17" s="130" t="s">
        <v>313</v>
      </c>
      <c r="X17" s="123" t="s">
        <v>278</v>
      </c>
      <c r="Y17" s="130" t="s">
        <v>279</v>
      </c>
      <c r="Z17" s="130" t="s">
        <v>280</v>
      </c>
      <c r="AA17" s="130" t="s">
        <v>281</v>
      </c>
      <c r="AB17" s="130" t="s">
        <v>282</v>
      </c>
      <c r="AC17" s="134" t="str">
        <f>HYPERLINK("Screenshots/Wing Wei Luy/TCRT-0013","View Screenshots")</f>
        <v>View Screenshots</v>
      </c>
      <c r="AD17" s="130" t="s">
        <v>314</v>
      </c>
      <c r="AE17" s="136"/>
      <c r="AF17" s="124"/>
    </row>
    <row r="18" ht="59" customHeight="1" spans="1:32">
      <c r="A18" s="119">
        <v>14</v>
      </c>
      <c r="B18" s="120" t="s">
        <v>61</v>
      </c>
      <c r="C18" s="137"/>
      <c r="D18" s="138"/>
      <c r="E18" s="123" t="s">
        <v>62</v>
      </c>
      <c r="F18" s="124" t="s">
        <v>25</v>
      </c>
      <c r="G18" s="125" t="s">
        <v>62</v>
      </c>
      <c r="H18" s="126" t="s">
        <v>30</v>
      </c>
      <c r="I18" s="184" t="str">
        <f>IF(H18="PSP",IF(K18="KHR",'Config Data'!$D$13,'Config Data'!$D$14),IF(H18="FC",IF(K18="KHR",'Config Data'!$D$15,'Config Data'!$D$16)))</f>
        <v>103634567</v>
      </c>
      <c r="J18" s="126" t="s">
        <v>31</v>
      </c>
      <c r="K18" s="126" t="s">
        <v>28</v>
      </c>
      <c r="L18" s="128">
        <f>IF(K18="KHR",'Config Data'!$D$21,IF(K18="USD",'Config Data'!$D$23,""))</f>
        <v>120000</v>
      </c>
      <c r="M18" s="130" t="s">
        <v>109</v>
      </c>
      <c r="N18" s="129" t="s">
        <v>29</v>
      </c>
      <c r="O18" s="130" t="s">
        <v>315</v>
      </c>
      <c r="P18" s="133" t="s">
        <v>59</v>
      </c>
      <c r="Q18" s="185" t="str">
        <f>'Config Data'!D$17</f>
        <v>077989682</v>
      </c>
      <c r="R18" s="131" t="s">
        <v>60</v>
      </c>
      <c r="S18" s="133" t="s">
        <v>60</v>
      </c>
      <c r="T18" s="130" t="s">
        <v>282</v>
      </c>
      <c r="U18" s="131" t="s">
        <v>60</v>
      </c>
      <c r="V18" s="130" t="s">
        <v>316</v>
      </c>
      <c r="W18" s="130" t="s">
        <v>317</v>
      </c>
      <c r="X18" s="123" t="s">
        <v>278</v>
      </c>
      <c r="Y18" s="130" t="s">
        <v>279</v>
      </c>
      <c r="Z18" s="130" t="s">
        <v>280</v>
      </c>
      <c r="AA18" s="130" t="s">
        <v>281</v>
      </c>
      <c r="AB18" s="130" t="s">
        <v>282</v>
      </c>
      <c r="AC18" s="134" t="str">
        <f>HYPERLINK("Screenshots/Wing Wei Luy/TCRT-0014","View Screenshots")</f>
        <v>View Screenshots</v>
      </c>
      <c r="AD18" s="130" t="s">
        <v>318</v>
      </c>
      <c r="AE18" s="136"/>
      <c r="AF18" s="124"/>
    </row>
    <row r="19" ht="59" customHeight="1" spans="1:32">
      <c r="A19" s="119">
        <v>15</v>
      </c>
      <c r="B19" s="120" t="s">
        <v>64</v>
      </c>
      <c r="C19" s="137"/>
      <c r="D19" s="138"/>
      <c r="E19" s="123" t="s">
        <v>65</v>
      </c>
      <c r="F19" s="124" t="s">
        <v>25</v>
      </c>
      <c r="G19" s="125" t="s">
        <v>65</v>
      </c>
      <c r="H19" s="133" t="s">
        <v>30</v>
      </c>
      <c r="I19" s="184" t="str">
        <f>IF(H19="PSP",IF(K19="KHR",'Config Data'!$D$13,'Config Data'!$D$14),IF(H19="FC",IF(K19="KHR",'Config Data'!$D$15,'Config Data'!$D$16)))</f>
        <v>103634533</v>
      </c>
      <c r="J19" s="131" t="s">
        <v>31</v>
      </c>
      <c r="K19" s="131" t="s">
        <v>32</v>
      </c>
      <c r="L19" s="128">
        <f>IF(K19="KHR",'Config Data'!$D$21,IF(K19="USD",'Config Data'!$D$23,""))</f>
        <v>30</v>
      </c>
      <c r="M19" s="130" t="s">
        <v>310</v>
      </c>
      <c r="N19" s="129" t="s">
        <v>29</v>
      </c>
      <c r="O19" s="130" t="s">
        <v>311</v>
      </c>
      <c r="P19" s="133" t="s">
        <v>59</v>
      </c>
      <c r="Q19" s="185" t="str">
        <f>'Config Data'!D$17</f>
        <v>077989682</v>
      </c>
      <c r="R19" s="131" t="s">
        <v>60</v>
      </c>
      <c r="S19" s="133" t="s">
        <v>60</v>
      </c>
      <c r="T19" s="130" t="s">
        <v>282</v>
      </c>
      <c r="U19" s="131" t="s">
        <v>60</v>
      </c>
      <c r="V19" s="130" t="s">
        <v>319</v>
      </c>
      <c r="W19" s="130" t="s">
        <v>320</v>
      </c>
      <c r="X19" s="123" t="s">
        <v>278</v>
      </c>
      <c r="Y19" s="130" t="s">
        <v>279</v>
      </c>
      <c r="Z19" s="130" t="s">
        <v>280</v>
      </c>
      <c r="AA19" s="130" t="s">
        <v>281</v>
      </c>
      <c r="AB19" s="130" t="s">
        <v>282</v>
      </c>
      <c r="AC19" s="134" t="str">
        <f>HYPERLINK("Screenshots/Wing Wei Luy/TCRT-0015","View Screenshots")</f>
        <v>View Screenshots</v>
      </c>
      <c r="AD19" s="130" t="s">
        <v>321</v>
      </c>
      <c r="AE19" s="136"/>
      <c r="AF19" s="124"/>
    </row>
    <row r="20" ht="59" customHeight="1" spans="1:32">
      <c r="A20" s="119">
        <v>16</v>
      </c>
      <c r="B20" s="120" t="s">
        <v>66</v>
      </c>
      <c r="C20" s="137"/>
      <c r="D20" s="142"/>
      <c r="E20" s="123" t="s">
        <v>67</v>
      </c>
      <c r="F20" s="124" t="s">
        <v>25</v>
      </c>
      <c r="G20" s="125" t="s">
        <v>67</v>
      </c>
      <c r="H20" s="126" t="s">
        <v>26</v>
      </c>
      <c r="I20" s="184" t="str">
        <f>IF(H20="PSP",IF(K20="KHR",'Config Data'!$D$13,'Config Data'!$D$14),IF(H20="FC",IF(K20="KHR",'Config Data'!$D$15,'Config Data'!$D$16)))</f>
        <v>07782083</v>
      </c>
      <c r="J20" s="126" t="s">
        <v>31</v>
      </c>
      <c r="K20" s="126" t="s">
        <v>28</v>
      </c>
      <c r="L20" s="128">
        <f>IF(K20="KHR",'Config Data'!$D$21,IF(K20="USD",'Config Data'!$D$23,""))</f>
        <v>120000</v>
      </c>
      <c r="M20" s="130" t="s">
        <v>109</v>
      </c>
      <c r="N20" s="129" t="s">
        <v>29</v>
      </c>
      <c r="O20" s="130" t="s">
        <v>315</v>
      </c>
      <c r="P20" s="133" t="s">
        <v>59</v>
      </c>
      <c r="Q20" s="185" t="str">
        <f>'Config Data'!D$17</f>
        <v>077989682</v>
      </c>
      <c r="R20" s="131" t="s">
        <v>60</v>
      </c>
      <c r="S20" s="133" t="s">
        <v>60</v>
      </c>
      <c r="T20" s="130" t="s">
        <v>282</v>
      </c>
      <c r="U20" s="131" t="s">
        <v>60</v>
      </c>
      <c r="V20" s="130" t="s">
        <v>322</v>
      </c>
      <c r="W20" s="130" t="s">
        <v>323</v>
      </c>
      <c r="X20" s="123" t="s">
        <v>278</v>
      </c>
      <c r="Y20" s="130" t="s">
        <v>279</v>
      </c>
      <c r="Z20" s="130" t="s">
        <v>280</v>
      </c>
      <c r="AA20" s="130" t="s">
        <v>281</v>
      </c>
      <c r="AB20" s="130" t="s">
        <v>282</v>
      </c>
      <c r="AC20" s="134" t="str">
        <f>HYPERLINK("Screenshots/Wing Wei Luy/TCRT-0016","View Screenshots")</f>
        <v>View Screenshots</v>
      </c>
      <c r="AD20" s="130" t="s">
        <v>324</v>
      </c>
      <c r="AE20" s="136"/>
      <c r="AF20" s="124"/>
    </row>
    <row r="21" ht="59" customHeight="1" spans="1:32">
      <c r="A21" s="119">
        <v>17</v>
      </c>
      <c r="B21" s="120" t="s">
        <v>68</v>
      </c>
      <c r="C21" s="137"/>
      <c r="D21" s="122" t="s">
        <v>69</v>
      </c>
      <c r="E21" s="123" t="s">
        <v>70</v>
      </c>
      <c r="F21" s="124" t="s">
        <v>25</v>
      </c>
      <c r="G21" s="125" t="s">
        <v>70</v>
      </c>
      <c r="H21" s="133" t="s">
        <v>26</v>
      </c>
      <c r="I21" s="184" t="str">
        <f>IF(H21="PSP",IF(K21="KHR",'Config Data'!$D$13,'Config Data'!$D$14),IF(H21="FC",IF(K21="KHR",'Config Data'!$D$15,'Config Data'!$D$16)))</f>
        <v>07782087</v>
      </c>
      <c r="J21" s="131" t="s">
        <v>27</v>
      </c>
      <c r="K21" s="131" t="s">
        <v>32</v>
      </c>
      <c r="L21" s="128">
        <f>IF(K21="KHR",'Config Data'!$D$21,IF(K21="USD",'Config Data'!$D$23,""))</f>
        <v>30</v>
      </c>
      <c r="M21" s="130" t="s">
        <v>29</v>
      </c>
      <c r="N21" s="129" t="s">
        <v>29</v>
      </c>
      <c r="O21" s="130" t="s">
        <v>286</v>
      </c>
      <c r="P21" s="126" t="s">
        <v>30</v>
      </c>
      <c r="Q21" s="185" t="str">
        <f>IF(P21="PSP",IF(S21="KHR",'Config Data'!$D$13,'Config Data'!$D$14),IF(P21="FC",IF(S21="KHR",'Config Data'!$D$15,'Config Data'!$D$16)))</f>
        <v>103634567</v>
      </c>
      <c r="R21" s="126" t="s">
        <v>31</v>
      </c>
      <c r="S21" s="126" t="s">
        <v>28</v>
      </c>
      <c r="T21" s="130" t="s">
        <v>282</v>
      </c>
      <c r="U21" s="133" t="s">
        <v>261</v>
      </c>
      <c r="V21" s="130" t="s">
        <v>325</v>
      </c>
      <c r="W21" s="130" t="s">
        <v>326</v>
      </c>
      <c r="X21" s="123" t="s">
        <v>278</v>
      </c>
      <c r="Y21" s="130" t="s">
        <v>279</v>
      </c>
      <c r="Z21" s="130" t="s">
        <v>280</v>
      </c>
      <c r="AA21" s="130" t="s">
        <v>281</v>
      </c>
      <c r="AB21" s="130" t="s">
        <v>282</v>
      </c>
      <c r="AC21" s="134" t="str">
        <f>HYPERLINK("Screenshots/Code to Wing/TCRT-0017","View Screenshots")</f>
        <v>View Screenshots</v>
      </c>
      <c r="AD21" s="130" t="s">
        <v>282</v>
      </c>
      <c r="AE21" s="136"/>
      <c r="AF21" s="143"/>
    </row>
    <row r="22" ht="59" customHeight="1" spans="1:32">
      <c r="A22" s="119">
        <v>18</v>
      </c>
      <c r="B22" s="120" t="s">
        <v>71</v>
      </c>
      <c r="C22" s="137"/>
      <c r="D22" s="138"/>
      <c r="E22" s="123" t="s">
        <v>72</v>
      </c>
      <c r="F22" s="124" t="s">
        <v>25</v>
      </c>
      <c r="G22" s="125" t="s">
        <v>73</v>
      </c>
      <c r="H22" s="126" t="s">
        <v>30</v>
      </c>
      <c r="I22" s="184" t="str">
        <f>IF(H22="PSP",IF(K22="KHR",'Config Data'!$D$13,'Config Data'!$D$14),IF(H22="FC",IF(K22="KHR",'Config Data'!$D$15,'Config Data'!$D$16)))</f>
        <v>103634567</v>
      </c>
      <c r="J22" s="126" t="s">
        <v>31</v>
      </c>
      <c r="K22" s="126" t="s">
        <v>28</v>
      </c>
      <c r="L22" s="128">
        <f>IF(K22="KHR",'Config Data'!$D$21,IF(K22="USD",'Config Data'!$D$23,""))</f>
        <v>120000</v>
      </c>
      <c r="M22" s="130" t="s">
        <v>29</v>
      </c>
      <c r="N22" s="129" t="s">
        <v>29</v>
      </c>
      <c r="O22" s="130" t="s">
        <v>283</v>
      </c>
      <c r="P22" s="133" t="s">
        <v>26</v>
      </c>
      <c r="Q22" s="185" t="str">
        <f>IF(P22="PSP",IF(S22="KHR",'Config Data'!$D$13,'Config Data'!$D$14),IF(P22="FC",IF(S22="KHR",'Config Data'!$D$15,'Config Data'!$D$16)))</f>
        <v>07782087</v>
      </c>
      <c r="R22" s="133" t="s">
        <v>27</v>
      </c>
      <c r="S22" s="133" t="s">
        <v>32</v>
      </c>
      <c r="T22" s="130" t="s">
        <v>282</v>
      </c>
      <c r="U22" s="133" t="s">
        <v>260</v>
      </c>
      <c r="V22" s="130" t="s">
        <v>327</v>
      </c>
      <c r="W22" s="130" t="s">
        <v>328</v>
      </c>
      <c r="X22" s="123" t="s">
        <v>278</v>
      </c>
      <c r="Y22" s="130" t="s">
        <v>279</v>
      </c>
      <c r="Z22" s="130" t="s">
        <v>280</v>
      </c>
      <c r="AA22" s="130" t="s">
        <v>281</v>
      </c>
      <c r="AB22" s="130" t="s">
        <v>282</v>
      </c>
      <c r="AC22" s="134" t="str">
        <f>HYPERLINK("Screenshots/Code to Wing/TCRT-0018","View Screenshots")</f>
        <v>View Screenshots</v>
      </c>
      <c r="AD22" s="130" t="s">
        <v>282</v>
      </c>
      <c r="AE22" s="136"/>
      <c r="AF22" s="143"/>
    </row>
    <row r="23" ht="59" customHeight="1" spans="1:32">
      <c r="A23" s="119">
        <v>19</v>
      </c>
      <c r="B23" s="120" t="s">
        <v>74</v>
      </c>
      <c r="C23" s="137"/>
      <c r="D23" s="138"/>
      <c r="E23" s="123" t="s">
        <v>75</v>
      </c>
      <c r="F23" s="124" t="s">
        <v>25</v>
      </c>
      <c r="G23" s="125" t="s">
        <v>76</v>
      </c>
      <c r="H23" s="133" t="s">
        <v>30</v>
      </c>
      <c r="I23" s="184" t="str">
        <f>IF(H23="PSP",IF(K23="KHR",'Config Data'!$D$13,'Config Data'!$D$14),IF(H23="FC",IF(K23="KHR",'Config Data'!$D$15,'Config Data'!$D$16)))</f>
        <v>103634533</v>
      </c>
      <c r="J23" s="131" t="s">
        <v>31</v>
      </c>
      <c r="K23" s="131" t="s">
        <v>32</v>
      </c>
      <c r="L23" s="128">
        <f>IF(K23="KHR",'Config Data'!$D$21,IF(K23="USD",'Config Data'!$D$23,""))</f>
        <v>30</v>
      </c>
      <c r="M23" s="130" t="s">
        <v>29</v>
      </c>
      <c r="N23" s="129" t="s">
        <v>29</v>
      </c>
      <c r="O23" s="130" t="s">
        <v>286</v>
      </c>
      <c r="P23" s="126" t="s">
        <v>26</v>
      </c>
      <c r="Q23" s="185" t="str">
        <f>IF(P23="PSP",IF(S23="KHR",'Config Data'!$D$13,'Config Data'!$D$14),IF(P23="FC",IF(S23="KHR",'Config Data'!$D$15,'Config Data'!$D$16)))</f>
        <v>07782083</v>
      </c>
      <c r="R23" s="126" t="s">
        <v>27</v>
      </c>
      <c r="S23" s="126" t="s">
        <v>28</v>
      </c>
      <c r="T23" s="130" t="s">
        <v>282</v>
      </c>
      <c r="U23" s="133" t="s">
        <v>261</v>
      </c>
      <c r="V23" s="130" t="s">
        <v>329</v>
      </c>
      <c r="W23" s="130" t="s">
        <v>330</v>
      </c>
      <c r="X23" s="123" t="s">
        <v>278</v>
      </c>
      <c r="Y23" s="130" t="s">
        <v>279</v>
      </c>
      <c r="Z23" s="130" t="s">
        <v>280</v>
      </c>
      <c r="AA23" s="130" t="s">
        <v>281</v>
      </c>
      <c r="AB23" s="130" t="s">
        <v>282</v>
      </c>
      <c r="AC23" s="134" t="str">
        <f>HYPERLINK("Screenshots/Code to Wing/TCRT-0019","View Screenshots")</f>
        <v>View Screenshots</v>
      </c>
      <c r="AD23" s="130" t="s">
        <v>282</v>
      </c>
      <c r="AE23" s="136"/>
      <c r="AF23" s="143"/>
    </row>
    <row r="24" ht="59" customHeight="1" spans="1:32">
      <c r="A24" s="119">
        <v>20</v>
      </c>
      <c r="B24" s="120" t="s">
        <v>77</v>
      </c>
      <c r="C24" s="137"/>
      <c r="D24" s="142"/>
      <c r="E24" s="123" t="s">
        <v>78</v>
      </c>
      <c r="F24" s="124" t="s">
        <v>25</v>
      </c>
      <c r="G24" s="125" t="s">
        <v>79</v>
      </c>
      <c r="H24" s="126" t="s">
        <v>26</v>
      </c>
      <c r="I24" s="184" t="str">
        <f>IF(H24="PSP",IF(K24="KHR",'Config Data'!$D$13,'Config Data'!$D$14),IF(H24="FC",IF(K24="KHR",'Config Data'!$D$15,'Config Data'!$D$16)))</f>
        <v>07782083</v>
      </c>
      <c r="J24" s="126" t="s">
        <v>27</v>
      </c>
      <c r="K24" s="126" t="s">
        <v>28</v>
      </c>
      <c r="L24" s="128">
        <f>IF(K24="KHR",'Config Data'!$D$21,IF(K24="USD",'Config Data'!$D$23,""))</f>
        <v>120000</v>
      </c>
      <c r="M24" s="130" t="s">
        <v>29</v>
      </c>
      <c r="N24" s="129" t="s">
        <v>29</v>
      </c>
      <c r="O24" s="130" t="s">
        <v>274</v>
      </c>
      <c r="P24" s="133" t="s">
        <v>30</v>
      </c>
      <c r="Q24" s="185" t="str">
        <f>IF(P24="PSP",IF(S24="KHR",'Config Data'!$D$13,'Config Data'!$D$14),IF(P24="FC",IF(S24="KHR",'Config Data'!$D$15,'Config Data'!$D$16)))</f>
        <v>103634533</v>
      </c>
      <c r="R24" s="131" t="s">
        <v>31</v>
      </c>
      <c r="S24" s="133" t="s">
        <v>32</v>
      </c>
      <c r="T24" s="130" t="s">
        <v>282</v>
      </c>
      <c r="U24" s="133" t="s">
        <v>260</v>
      </c>
      <c r="V24" s="130" t="s">
        <v>331</v>
      </c>
      <c r="W24" s="130" t="s">
        <v>332</v>
      </c>
      <c r="X24" s="123" t="s">
        <v>278</v>
      </c>
      <c r="Y24" s="130" t="s">
        <v>279</v>
      </c>
      <c r="Z24" s="130" t="s">
        <v>280</v>
      </c>
      <c r="AA24" s="130" t="s">
        <v>281</v>
      </c>
      <c r="AB24" s="130" t="s">
        <v>282</v>
      </c>
      <c r="AC24" s="134" t="str">
        <f>HYPERLINK("Screenshots/Code to Wing/TCRT-0020","View Screenshots")</f>
        <v>View Screenshots</v>
      </c>
      <c r="AD24" s="130" t="s">
        <v>282</v>
      </c>
      <c r="AE24" s="136"/>
      <c r="AF24" s="144"/>
    </row>
    <row r="25" ht="59" customHeight="1" spans="1:32">
      <c r="A25" s="119">
        <v>21</v>
      </c>
      <c r="B25" s="120" t="s">
        <v>80</v>
      </c>
      <c r="C25" s="137"/>
      <c r="D25" s="122" t="s">
        <v>81</v>
      </c>
      <c r="E25" s="123" t="s">
        <v>82</v>
      </c>
      <c r="F25" s="124" t="s">
        <v>25</v>
      </c>
      <c r="G25" s="125" t="s">
        <v>82</v>
      </c>
      <c r="H25" s="133" t="s">
        <v>26</v>
      </c>
      <c r="I25" s="184" t="str">
        <f>IF(H25="PSP",IF(K25="KHR",'Config Data'!$D$13,'Config Data'!$D$14),IF(H25="FC",IF(K25="KHR",'Config Data'!$D$15,'Config Data'!$D$16)))</f>
        <v>07782087</v>
      </c>
      <c r="J25" s="131" t="s">
        <v>27</v>
      </c>
      <c r="K25" s="133" t="s">
        <v>32</v>
      </c>
      <c r="L25" s="130" t="s">
        <v>300</v>
      </c>
      <c r="M25" s="124" t="s">
        <v>29</v>
      </c>
      <c r="N25" s="129" t="s">
        <v>29</v>
      </c>
      <c r="O25" s="145">
        <v>1</v>
      </c>
      <c r="P25" s="133" t="s">
        <v>59</v>
      </c>
      <c r="Q25" s="185" t="str">
        <f>IF(R25="Smart",'Config Data'!D$44,IF(R25="Cellcard",'Config Data'!D$45,""))</f>
        <v>098229845</v>
      </c>
      <c r="R25" s="133" t="s">
        <v>83</v>
      </c>
      <c r="S25" s="133" t="s">
        <v>32</v>
      </c>
      <c r="T25" s="133"/>
      <c r="U25" s="133" t="s">
        <v>60</v>
      </c>
      <c r="V25" s="130" t="s">
        <v>333</v>
      </c>
      <c r="W25" s="130" t="s">
        <v>334</v>
      </c>
      <c r="X25" s="123" t="s">
        <v>278</v>
      </c>
      <c r="Y25" s="130" t="s">
        <v>279</v>
      </c>
      <c r="Z25" s="130" t="s">
        <v>280</v>
      </c>
      <c r="AA25" s="130" t="s">
        <v>281</v>
      </c>
      <c r="AB25" s="130" t="s">
        <v>282</v>
      </c>
      <c r="AC25" s="134" t="str">
        <f>HYPERLINK("Screenshots/PTU Pinless/TCRT-0021","View Screenshots")</f>
        <v>View Screenshots</v>
      </c>
      <c r="AD25" s="139"/>
      <c r="AE25" s="136"/>
      <c r="AF25" s="124"/>
    </row>
    <row r="26" ht="59" customHeight="1" spans="1:32">
      <c r="A26" s="119">
        <v>22</v>
      </c>
      <c r="B26" s="120" t="s">
        <v>84</v>
      </c>
      <c r="C26" s="137"/>
      <c r="D26" s="138"/>
      <c r="E26" s="123" t="s">
        <v>85</v>
      </c>
      <c r="F26" s="124" t="s">
        <v>25</v>
      </c>
      <c r="G26" s="125" t="s">
        <v>85</v>
      </c>
      <c r="H26" s="126" t="s">
        <v>30</v>
      </c>
      <c r="I26" s="184" t="str">
        <f>IF(H26="PSP",IF(K26="KHR",'Config Data'!$D$13,'Config Data'!$D$14),IF(H26="FC",IF(K26="KHR",'Config Data'!$D$15,'Config Data'!$D$16)))</f>
        <v>103634567</v>
      </c>
      <c r="J26" s="126" t="s">
        <v>31</v>
      </c>
      <c r="K26" s="126" t="s">
        <v>28</v>
      </c>
      <c r="L26" s="130" t="s">
        <v>275</v>
      </c>
      <c r="M26" s="129" t="s">
        <v>29</v>
      </c>
      <c r="N26" s="129" t="s">
        <v>29</v>
      </c>
      <c r="O26" s="145">
        <v>1</v>
      </c>
      <c r="P26" s="133" t="s">
        <v>59</v>
      </c>
      <c r="Q26" s="185" t="str">
        <f>IF(R26="Smart",'Config Data'!D$44,IF(R26="Cellcard",'Config Data'!D$45,""))</f>
        <v>098229845</v>
      </c>
      <c r="R26" s="133" t="s">
        <v>83</v>
      </c>
      <c r="S26" s="133" t="s">
        <v>32</v>
      </c>
      <c r="T26" s="146"/>
      <c r="U26" s="133" t="s">
        <v>260</v>
      </c>
      <c r="V26" s="130" t="s">
        <v>335</v>
      </c>
      <c r="W26" s="130" t="s">
        <v>336</v>
      </c>
      <c r="X26" s="123" t="s">
        <v>278</v>
      </c>
      <c r="Y26" s="130" t="s">
        <v>279</v>
      </c>
      <c r="Z26" s="130" t="s">
        <v>280</v>
      </c>
      <c r="AA26" s="130" t="s">
        <v>281</v>
      </c>
      <c r="AB26" s="130" t="s">
        <v>282</v>
      </c>
      <c r="AC26" s="134" t="str">
        <f>HYPERLINK("Screenshots/PTU Pinless/TCRT-0022","View Screenshots")</f>
        <v>View Screenshots</v>
      </c>
      <c r="AD26" s="139"/>
      <c r="AE26" s="136"/>
      <c r="AF26" s="124"/>
    </row>
    <row r="27" ht="59" customHeight="1" spans="1:32">
      <c r="A27" s="119">
        <v>23</v>
      </c>
      <c r="B27" s="120" t="s">
        <v>86</v>
      </c>
      <c r="C27" s="137"/>
      <c r="D27" s="142"/>
      <c r="E27" s="123" t="s">
        <v>87</v>
      </c>
      <c r="F27" s="124" t="s">
        <v>25</v>
      </c>
      <c r="G27" s="125" t="s">
        <v>87</v>
      </c>
      <c r="H27" s="133" t="s">
        <v>30</v>
      </c>
      <c r="I27" s="184" t="str">
        <f>IF(H27="PSP",IF(K27="KHR",'Config Data'!$D$13,'Config Data'!$D$14),IF(H27="FC",IF(K27="KHR",'Config Data'!$D$15,'Config Data'!$D$16)))</f>
        <v>103634533</v>
      </c>
      <c r="J27" s="131" t="s">
        <v>31</v>
      </c>
      <c r="K27" s="133" t="s">
        <v>32</v>
      </c>
      <c r="L27" s="130" t="s">
        <v>300</v>
      </c>
      <c r="M27" s="129" t="s">
        <v>29</v>
      </c>
      <c r="N27" s="129" t="s">
        <v>29</v>
      </c>
      <c r="O27" s="145">
        <v>1</v>
      </c>
      <c r="P27" s="133" t="s">
        <v>59</v>
      </c>
      <c r="Q27" s="185" t="str">
        <f>IF(R27="Smart",'Config Data'!D$44,IF(R27="Cellcard",'Config Data'!D$45,""))</f>
        <v>078731099</v>
      </c>
      <c r="R27" s="133" t="s">
        <v>88</v>
      </c>
      <c r="S27" s="133" t="s">
        <v>32</v>
      </c>
      <c r="T27" s="133"/>
      <c r="U27" s="133" t="s">
        <v>60</v>
      </c>
      <c r="V27" s="130" t="s">
        <v>337</v>
      </c>
      <c r="W27" s="130" t="s">
        <v>338</v>
      </c>
      <c r="X27" s="147" t="s">
        <v>278</v>
      </c>
      <c r="Y27" s="130" t="s">
        <v>279</v>
      </c>
      <c r="Z27" s="130" t="s">
        <v>280</v>
      </c>
      <c r="AA27" s="130" t="s">
        <v>281</v>
      </c>
      <c r="AB27" s="130" t="s">
        <v>282</v>
      </c>
      <c r="AC27" s="134" t="str">
        <f>HYPERLINK("Screenshots/PTU Pinless/TCRT-0023","View Screenshots")</f>
        <v>View Screenshots</v>
      </c>
      <c r="AD27" s="148"/>
      <c r="AE27" s="136"/>
      <c r="AF27" s="129"/>
    </row>
    <row r="28" ht="59" customHeight="1" spans="1:32">
      <c r="A28" s="119">
        <v>24</v>
      </c>
      <c r="B28" s="120" t="s">
        <v>89</v>
      </c>
      <c r="C28" s="137"/>
      <c r="D28" s="122" t="s">
        <v>90</v>
      </c>
      <c r="E28" s="123" t="s">
        <v>91</v>
      </c>
      <c r="F28" s="124" t="s">
        <v>25</v>
      </c>
      <c r="G28" s="125" t="s">
        <v>91</v>
      </c>
      <c r="H28" s="126" t="s">
        <v>26</v>
      </c>
      <c r="I28" s="184" t="str">
        <f>IF(H28="PSP",IF(K28="KHR",'Config Data'!$D$13,'Config Data'!$D$14),IF(H28="FC",IF(K28="KHR",'Config Data'!$D$15,'Config Data'!$D$16)))</f>
        <v>07782083</v>
      </c>
      <c r="J28" s="126" t="s">
        <v>27</v>
      </c>
      <c r="K28" s="126" t="s">
        <v>28</v>
      </c>
      <c r="L28" s="130" t="s">
        <v>275</v>
      </c>
      <c r="M28" s="124" t="s">
        <v>29</v>
      </c>
      <c r="N28" s="129" t="s">
        <v>29</v>
      </c>
      <c r="O28" s="145">
        <v>1</v>
      </c>
      <c r="P28" s="133" t="s">
        <v>92</v>
      </c>
      <c r="Q28" s="132" t="s">
        <v>83</v>
      </c>
      <c r="R28" s="133" t="s">
        <v>60</v>
      </c>
      <c r="S28" s="133" t="s">
        <v>32</v>
      </c>
      <c r="T28" s="130" t="s">
        <v>282</v>
      </c>
      <c r="U28" s="133" t="s">
        <v>260</v>
      </c>
      <c r="V28" s="130" t="s">
        <v>339</v>
      </c>
      <c r="W28" s="130" t="s">
        <v>340</v>
      </c>
      <c r="X28" s="147" t="s">
        <v>278</v>
      </c>
      <c r="Y28" s="130" t="s">
        <v>279</v>
      </c>
      <c r="Z28" s="130" t="s">
        <v>280</v>
      </c>
      <c r="AA28" s="130" t="s">
        <v>281</v>
      </c>
      <c r="AB28" s="130" t="s">
        <v>282</v>
      </c>
      <c r="AC28" s="134" t="str">
        <f>HYPERLINK("Screenshots/PTU PIN/TCRT-0024","View Screenshots")</f>
        <v>View Screenshots</v>
      </c>
      <c r="AD28" s="148"/>
      <c r="AE28" s="136"/>
      <c r="AF28" s="124"/>
    </row>
    <row r="29" ht="59" customHeight="1" spans="1:32">
      <c r="A29" s="119">
        <v>25</v>
      </c>
      <c r="B29" s="120" t="s">
        <v>93</v>
      </c>
      <c r="C29" s="137"/>
      <c r="D29" s="142"/>
      <c r="E29" s="123" t="s">
        <v>94</v>
      </c>
      <c r="F29" s="124" t="s">
        <v>25</v>
      </c>
      <c r="G29" s="125" t="s">
        <v>94</v>
      </c>
      <c r="H29" s="133" t="s">
        <v>30</v>
      </c>
      <c r="I29" s="184" t="str">
        <f>IF(H29="PSP",IF(K29="KHR",'Config Data'!$D$13,'Config Data'!$D$14),IF(H29="FC",IF(K29="KHR",'Config Data'!$D$15,'Config Data'!$D$16)))</f>
        <v>103634533</v>
      </c>
      <c r="J29" s="131" t="s">
        <v>31</v>
      </c>
      <c r="K29" s="131" t="s">
        <v>32</v>
      </c>
      <c r="L29" s="130" t="s">
        <v>300</v>
      </c>
      <c r="M29" s="129" t="s">
        <v>29</v>
      </c>
      <c r="N29" s="129" t="s">
        <v>29</v>
      </c>
      <c r="O29" s="145">
        <v>1</v>
      </c>
      <c r="P29" s="133" t="s">
        <v>92</v>
      </c>
      <c r="Q29" s="132" t="s">
        <v>88</v>
      </c>
      <c r="R29" s="133" t="s">
        <v>60</v>
      </c>
      <c r="S29" s="133" t="s">
        <v>32</v>
      </c>
      <c r="T29" s="130" t="s">
        <v>282</v>
      </c>
      <c r="U29" s="133" t="s">
        <v>60</v>
      </c>
      <c r="V29" s="130" t="s">
        <v>341</v>
      </c>
      <c r="W29" s="130" t="s">
        <v>342</v>
      </c>
      <c r="X29" s="147" t="s">
        <v>278</v>
      </c>
      <c r="Y29" s="130" t="s">
        <v>279</v>
      </c>
      <c r="Z29" s="130" t="s">
        <v>280</v>
      </c>
      <c r="AA29" s="130" t="s">
        <v>281</v>
      </c>
      <c r="AB29" s="130" t="s">
        <v>282</v>
      </c>
      <c r="AC29" s="134" t="str">
        <f>HYPERLINK("Screenshots/PTU PIN/TCRT-0025","View Screenshots")</f>
        <v>View Screenshots</v>
      </c>
      <c r="AD29" s="148"/>
      <c r="AE29" s="136"/>
      <c r="AF29" s="129"/>
    </row>
    <row r="30" ht="59" customHeight="1" spans="1:32">
      <c r="A30" s="119">
        <v>26</v>
      </c>
      <c r="B30" s="120" t="s">
        <v>95</v>
      </c>
      <c r="C30" s="137"/>
      <c r="D30" s="122" t="s">
        <v>96</v>
      </c>
      <c r="E30" s="123" t="s">
        <v>97</v>
      </c>
      <c r="F30" s="124" t="s">
        <v>25</v>
      </c>
      <c r="G30" s="125" t="s">
        <v>97</v>
      </c>
      <c r="H30" s="126" t="s">
        <v>26</v>
      </c>
      <c r="I30" s="184" t="str">
        <f>IF(H30="PSP",IF(K30="KHR",'Config Data'!$D$13,'Config Data'!$D$14),IF(H30="FC",IF(K30="KHR",'Config Data'!$D$15,'Config Data'!$D$16)))</f>
        <v>07782083</v>
      </c>
      <c r="J30" s="126" t="s">
        <v>27</v>
      </c>
      <c r="K30" s="126" t="s">
        <v>28</v>
      </c>
      <c r="L30" s="130" t="s">
        <v>343</v>
      </c>
      <c r="M30" s="129" t="s">
        <v>29</v>
      </c>
      <c r="N30" s="129" t="s">
        <v>29</v>
      </c>
      <c r="O30" s="128">
        <f>IF(AND(K30="USD",S30="KHR"),120000,IF(AND(K30="KHR",S30="USD"),30,IF(AND(K30="USD",S30="USD"),1,IF(AND(K30="KHR",S30="KHR"),4000,IF(S30="KHR",'Config Data'!$D$21,IF(S30="USD",'Config Data'!$D$23,""))))))</f>
        <v>30</v>
      </c>
      <c r="P30" s="133" t="s">
        <v>98</v>
      </c>
      <c r="Q30" s="186" t="str">
        <f>IF('Config Data'!B29=FALSE,IF(P30="Customer QR OtherBank",IF(S30="KHR",'Config Data'!E$39,'Config Data'!E$38)),IF(P30="Customer QR OtherBank",IF(S30="KHR",'Config Data'!D$39,'Config Data'!D$38)))</f>
        <v>00020101021229450016abaakhppxxx@abaa01090044268570208ABA Bank40390006abaP2P011259D64CDECE0F02090044268575204000053038405402305802KH5909RORN MONY6010Phnom Penh993400131776671446325011318082074463256304E369</v>
      </c>
      <c r="R30" s="133" t="s">
        <v>99</v>
      </c>
      <c r="S30" s="133" t="s">
        <v>32</v>
      </c>
      <c r="T30" s="130" t="s">
        <v>282</v>
      </c>
      <c r="U30" s="133" t="s">
        <v>260</v>
      </c>
      <c r="V30" s="130" t="s">
        <v>344</v>
      </c>
      <c r="W30" s="130" t="s">
        <v>345</v>
      </c>
      <c r="X30" s="147" t="s">
        <v>278</v>
      </c>
      <c r="Y30" s="130" t="s">
        <v>279</v>
      </c>
      <c r="Z30" s="130" t="s">
        <v>280</v>
      </c>
      <c r="AA30" s="130" t="s">
        <v>281</v>
      </c>
      <c r="AB30" s="130" t="s">
        <v>282</v>
      </c>
      <c r="AC30" s="134" t="str">
        <f>HYPERLINK("Screenshots/KHQR (WingBank to Customer Other Bank)/TCRT-0026","View Screenshots")</f>
        <v>View Screenshots</v>
      </c>
      <c r="AD30" s="148"/>
      <c r="AE30" s="136"/>
      <c r="AF30" s="124"/>
    </row>
    <row r="31" ht="59" customHeight="1" spans="1:32">
      <c r="A31" s="119">
        <v>27</v>
      </c>
      <c r="B31" s="120" t="s">
        <v>100</v>
      </c>
      <c r="C31" s="137"/>
      <c r="D31" s="142"/>
      <c r="E31" s="123" t="s">
        <v>101</v>
      </c>
      <c r="F31" s="124" t="s">
        <v>25</v>
      </c>
      <c r="G31" s="125" t="s">
        <v>101</v>
      </c>
      <c r="H31" s="133" t="s">
        <v>30</v>
      </c>
      <c r="I31" s="184" t="str">
        <f>IF(H31="PSP",IF(K31="KHR",'Config Data'!$D$13,'Config Data'!$D$14),IF(H31="FC",IF(K31="KHR",'Config Data'!$D$15,'Config Data'!$D$16)))</f>
        <v>103634533</v>
      </c>
      <c r="J31" s="131" t="s">
        <v>31</v>
      </c>
      <c r="K31" s="131" t="s">
        <v>32</v>
      </c>
      <c r="L31" s="130" t="s">
        <v>346</v>
      </c>
      <c r="M31" s="129" t="s">
        <v>29</v>
      </c>
      <c r="N31" s="129" t="s">
        <v>29</v>
      </c>
      <c r="O31" s="128">
        <f>IF(AND(K31="USD",S31="KHR"),120000,IF(AND(K31="KHR",S31="USD"),30,IF(AND(K31="USD",S31="USD"),1,IF(AND(K31="KHR",S31="KHR"),4000,IF(S31="KHR",'Config Data'!$D$21,IF(S31="USD",'Config Data'!$D$23,""))))))</f>
        <v>120000</v>
      </c>
      <c r="P31" s="126" t="s">
        <v>98</v>
      </c>
      <c r="Q31" s="186" t="str">
        <f>IF('Config Data'!B29=FALSE,IF(P31="Customer QR OtherBank",IF(S31="KHR",'Config Data'!E$39,'Config Data'!E$38)),IF(P31="Customer QR OtherBank",IF(S31="KHR",'Config Data'!D$39,'Config Data'!D$38)))</f>
        <v>00020101021229450016abaakhppxxx@abaa01096009011050208ABA Bank40390006abaP2P011259D64CDECE0F020960090110552040000530311654061200005802KH5909RORN MONY6010Phnom Penh9934001317766714861950113180820748619563041F76</v>
      </c>
      <c r="R31" s="126" t="s">
        <v>99</v>
      </c>
      <c r="S31" s="126" t="s">
        <v>28</v>
      </c>
      <c r="T31" s="130" t="s">
        <v>282</v>
      </c>
      <c r="U31" s="133" t="s">
        <v>261</v>
      </c>
      <c r="V31" s="130" t="s">
        <v>347</v>
      </c>
      <c r="W31" s="130" t="s">
        <v>348</v>
      </c>
      <c r="X31" s="147" t="s">
        <v>278</v>
      </c>
      <c r="Y31" s="130" t="s">
        <v>279</v>
      </c>
      <c r="Z31" s="130" t="s">
        <v>280</v>
      </c>
      <c r="AA31" s="130" t="s">
        <v>281</v>
      </c>
      <c r="AB31" s="130" t="s">
        <v>282</v>
      </c>
      <c r="AC31" s="134" t="str">
        <f>HYPERLINK("Screenshots/KHQR (WingBank to Customer Other Bank)/TCRT-0027","View Screenshots")</f>
        <v>View Screenshots</v>
      </c>
      <c r="AD31" s="148"/>
      <c r="AE31" s="136"/>
      <c r="AF31" s="129"/>
    </row>
    <row r="32" ht="59" customHeight="1" spans="1:32">
      <c r="A32" s="119">
        <v>28</v>
      </c>
      <c r="B32" s="120" t="s">
        <v>102</v>
      </c>
      <c r="C32" s="137"/>
      <c r="D32" s="122" t="s">
        <v>103</v>
      </c>
      <c r="E32" s="140" t="s">
        <v>104</v>
      </c>
      <c r="F32" s="150" t="s">
        <v>25</v>
      </c>
      <c r="G32" s="141" t="s">
        <v>104</v>
      </c>
      <c r="H32" s="126" t="s">
        <v>26</v>
      </c>
      <c r="I32" s="184" t="str">
        <f>IF(H32="PSP",IF(K32="KHR",'Config Data'!$D$13,'Config Data'!$D$14),IF(H32="FC",IF(K32="KHR",'Config Data'!$D$15,'Config Data'!$D$16)))</f>
        <v>07782083</v>
      </c>
      <c r="J32" s="126" t="s">
        <v>27</v>
      </c>
      <c r="K32" s="126" t="s">
        <v>28</v>
      </c>
      <c r="L32" s="130" t="s">
        <v>343</v>
      </c>
      <c r="M32" s="129" t="s">
        <v>29</v>
      </c>
      <c r="N32" s="129" t="s">
        <v>29</v>
      </c>
      <c r="O32" s="128">
        <f>IF(AND(K32="USD",S32="KHR"),120000,IF(AND(K32="KHR",S32="USD"),30,IF(AND(K32="USD",S32="USD"),1,IF(AND(K32="KHR",S32="KHR"),4000,IF(S32="KHR",'Config Data'!$D$21,IF(S32="USD",'Config Data'!$D$23,""))))))</f>
        <v>30</v>
      </c>
      <c r="P32" s="133" t="s">
        <v>105</v>
      </c>
      <c r="Q32" s="151" t="str">
        <f>IF('Config Data'!$B$29=FALSE,IF(P32="Merchant App PSP",IF(S32="KHR",'Config Data'!$E$34,'Config Data'!$E$35),IF(P32="Merchant App FC",IF(S32="KHR",'Config Data'!$E$33,'Config Data'!$E$32))),IF(P32="Merchant App PSP",IF(S32="KHR",'Config Data'!$D$34,'Config Data'!$D$35),IF(P32="Merchant App FC",IF(S32="KHR",'Config Data'!$D$33,'Config Data'!$D$32))))</f>
        <v>00020101021130510014wing_khqr@wing01065331350207WINGPAY0308MERCHANT5204721153038405802KH5923PMOTest Youhai Ren Shop6010Phnom Penh6105120006304B296</v>
      </c>
      <c r="R32" s="131" t="s">
        <v>106</v>
      </c>
      <c r="S32" s="133" t="s">
        <v>32</v>
      </c>
      <c r="T32" s="130" t="s">
        <v>275</v>
      </c>
      <c r="U32" s="133" t="s">
        <v>260</v>
      </c>
      <c r="V32" s="130" t="s">
        <v>349</v>
      </c>
      <c r="W32" s="130" t="s">
        <v>350</v>
      </c>
      <c r="X32" s="147" t="s">
        <v>278</v>
      </c>
      <c r="Y32" s="130" t="s">
        <v>279</v>
      </c>
      <c r="Z32" s="130" t="s">
        <v>280</v>
      </c>
      <c r="AA32" s="130" t="s">
        <v>281</v>
      </c>
      <c r="AB32" s="130" t="s">
        <v>282</v>
      </c>
      <c r="AC32" s="134" t="str">
        <f>HYPERLINK("Screenshots/QR Pay (Scan)/TCRT-0028","View Screenshots")</f>
        <v>View Screenshots</v>
      </c>
      <c r="AD32" s="148"/>
      <c r="AE32" s="136"/>
      <c r="AF32" s="124"/>
    </row>
    <row r="33" ht="59" customHeight="1" spans="1:32">
      <c r="A33" s="119">
        <v>29</v>
      </c>
      <c r="B33" s="120" t="s">
        <v>107</v>
      </c>
      <c r="C33" s="137"/>
      <c r="D33" s="138"/>
      <c r="E33" s="140" t="s">
        <v>108</v>
      </c>
      <c r="F33" s="150" t="s">
        <v>25</v>
      </c>
      <c r="G33" s="141" t="s">
        <v>108</v>
      </c>
      <c r="H33" s="133" t="s">
        <v>26</v>
      </c>
      <c r="I33" s="184" t="str">
        <f>IF(H33="PSP",IF(K33="KHR",'Config Data'!$D$13,'Config Data'!$D$14),IF(H33="FC",IF(K33="KHR",'Config Data'!$D$15,'Config Data'!$D$16)))</f>
        <v>07782087</v>
      </c>
      <c r="J33" s="131" t="s">
        <v>27</v>
      </c>
      <c r="K33" s="133" t="s">
        <v>32</v>
      </c>
      <c r="L33" s="130" t="s">
        <v>351</v>
      </c>
      <c r="M33" s="129" t="s">
        <v>109</v>
      </c>
      <c r="N33" s="129" t="s">
        <v>29</v>
      </c>
      <c r="O33" s="128">
        <f>IF(AND(K33="USD",S33="KHR"),120000,IF(AND(K33="KHR",S33="USD"),30,IF(AND(K33="USD",S33="USD"),1,IF(AND(K33="KHR",S33="KHR"),4000,IF(S33="KHR",'Config Data'!$D$21,IF(S33="USD",'Config Data'!$D$23,""))))))</f>
        <v>120000</v>
      </c>
      <c r="P33" s="126" t="s">
        <v>110</v>
      </c>
      <c r="Q33" s="151" t="str">
        <f>IF('Config Data'!$B$29=FALSE,IF(P33="Merchant App PSP",IF(S33="KHR",'Config Data'!$E$34,'Config Data'!$E$35),IF(P33="Merchant App FC",IF(S33="KHR",'Config Data'!$E$33,'Config Data'!$E$32))),IF(P33="Merchant App PSP",IF(S33="KHR",'Config Data'!$D$34,'Config Data'!$D$35),IF(P33="Merchant App FC",IF(S33="KHR",'Config Data'!$D$33,'Config Data'!$D$32))))</f>
        <v>00020101021130420014wing_khqr@wing01090001342930207WINGPAY5204599953031165802KH5919PMOTEST HAI CAR SOP6010Phnom Penh624401062571730211855959890720715FCCMPY00035927863047A8A</v>
      </c>
      <c r="R33" s="126" t="s">
        <v>111</v>
      </c>
      <c r="S33" s="126" t="s">
        <v>28</v>
      </c>
      <c r="T33" s="130" t="s">
        <v>287</v>
      </c>
      <c r="U33" s="133" t="s">
        <v>261</v>
      </c>
      <c r="V33" s="130" t="s">
        <v>352</v>
      </c>
      <c r="W33" s="130" t="s">
        <v>353</v>
      </c>
      <c r="X33" s="147" t="s">
        <v>278</v>
      </c>
      <c r="Y33" s="130" t="s">
        <v>279</v>
      </c>
      <c r="Z33" s="130" t="s">
        <v>280</v>
      </c>
      <c r="AA33" s="130" t="s">
        <v>281</v>
      </c>
      <c r="AB33" s="130" t="s">
        <v>282</v>
      </c>
      <c r="AC33" s="134" t="str">
        <f>HYPERLINK("Screenshots/QR Pay (Scan)/TCRT-0029","View Screenshots")</f>
        <v>View Screenshots</v>
      </c>
      <c r="AD33" s="148"/>
      <c r="AE33" s="136"/>
      <c r="AF33" s="124"/>
    </row>
    <row r="34" ht="59" customHeight="1" spans="1:32">
      <c r="A34" s="119">
        <v>30</v>
      </c>
      <c r="B34" s="120" t="s">
        <v>112</v>
      </c>
      <c r="C34" s="137"/>
      <c r="D34" s="138"/>
      <c r="E34" s="140" t="s">
        <v>113</v>
      </c>
      <c r="F34" s="150" t="s">
        <v>25</v>
      </c>
      <c r="G34" s="141" t="s">
        <v>113</v>
      </c>
      <c r="H34" s="126" t="s">
        <v>26</v>
      </c>
      <c r="I34" s="184" t="str">
        <f>IF(H34="PSP",IF(K34="KHR",'Config Data'!$D$13,'Config Data'!$D$14),IF(H34="FC",IF(K34="KHR",'Config Data'!$D$15,'Config Data'!$D$16)))</f>
        <v>07782083</v>
      </c>
      <c r="J34" s="126" t="s">
        <v>27</v>
      </c>
      <c r="K34" s="126" t="s">
        <v>28</v>
      </c>
      <c r="L34" s="130" t="s">
        <v>343</v>
      </c>
      <c r="M34" s="129" t="s">
        <v>29</v>
      </c>
      <c r="N34" s="129" t="s">
        <v>29</v>
      </c>
      <c r="O34" s="128">
        <f>IF(AND(K34="USD",S34="KHR"),120000,IF(AND(K34="KHR",S34="USD"),30,IF(AND(K34="USD",S34="USD"),1,IF(AND(K34="KHR",S34="KHR"),4000,IF(S34="KHR",'Config Data'!$D$21,IF(S34="USD",'Config Data'!$D$23,""))))))</f>
        <v>30</v>
      </c>
      <c r="P34" s="133" t="s">
        <v>110</v>
      </c>
      <c r="Q34" s="151" t="str">
        <f>IF('Config Data'!$B$29=FALSE,IF(P34="Merchant App PSP",IF(S34="KHR",'Config Data'!$E$34,'Config Data'!$E$35),IF(P34="Merchant App FC",IF(S34="KHR",'Config Data'!$E$33,'Config Data'!$E$32))),IF(P34="Merchant App PSP",IF(S34="KHR",'Config Data'!$D$34,'Config Data'!$D$35),IF(P34="Merchant App FC",IF(S34="KHR",'Config Data'!$D$33,'Config Data'!$D$32))))</f>
        <v>00020101021130420014wing_khqr@wing01090001342930207WINGPAY5204599953031165802KH5919PMOTEST HAI CAR SOP6010Phnom Penh624401062571730211855959890720715FCCMPY00035927863047A8A</v>
      </c>
      <c r="R34" s="133" t="s">
        <v>114</v>
      </c>
      <c r="S34" s="133" t="s">
        <v>32</v>
      </c>
      <c r="T34" s="130" t="s">
        <v>275</v>
      </c>
      <c r="U34" s="133" t="s">
        <v>260</v>
      </c>
      <c r="V34" s="130" t="s">
        <v>354</v>
      </c>
      <c r="W34" s="130" t="s">
        <v>355</v>
      </c>
      <c r="X34" s="147" t="s">
        <v>278</v>
      </c>
      <c r="Y34" s="130" t="s">
        <v>279</v>
      </c>
      <c r="Z34" s="130" t="s">
        <v>280</v>
      </c>
      <c r="AA34" s="130" t="s">
        <v>281</v>
      </c>
      <c r="AB34" s="130" t="s">
        <v>282</v>
      </c>
      <c r="AC34" s="134" t="str">
        <f>HYPERLINK("Screenshots/QR Pay (Scan)/TCRT-0030","View Screenshots")</f>
        <v>View Screenshots</v>
      </c>
      <c r="AD34" s="148"/>
      <c r="AE34" s="136"/>
      <c r="AF34" s="124"/>
    </row>
    <row r="35" ht="59" customHeight="1" spans="1:32">
      <c r="A35" s="119">
        <v>31</v>
      </c>
      <c r="B35" s="120" t="s">
        <v>115</v>
      </c>
      <c r="C35" s="137"/>
      <c r="D35" s="138"/>
      <c r="E35" s="140" t="s">
        <v>116</v>
      </c>
      <c r="F35" s="150" t="s">
        <v>25</v>
      </c>
      <c r="G35" s="141" t="s">
        <v>116</v>
      </c>
      <c r="H35" s="126" t="s">
        <v>30</v>
      </c>
      <c r="I35" s="184" t="str">
        <f>IF(H35="PSP",IF(K35="KHR",'Config Data'!$D$13,'Config Data'!$D$14),IF(H35="FC",IF(K35="KHR",'Config Data'!$D$15,'Config Data'!$D$16)))</f>
        <v>103634567</v>
      </c>
      <c r="J35" s="126" t="s">
        <v>31</v>
      </c>
      <c r="K35" s="126" t="s">
        <v>28</v>
      </c>
      <c r="L35" s="130" t="s">
        <v>343</v>
      </c>
      <c r="M35" s="129" t="s">
        <v>29</v>
      </c>
      <c r="N35" s="129" t="s">
        <v>29</v>
      </c>
      <c r="O35" s="128">
        <f>IF(AND(K35="USD",S35="KHR"),120000,IF(AND(K35="KHR",S35="USD"),30,IF(AND(K35="USD",S35="USD"),1,IF(AND(K35="KHR",S35="KHR"),4000,IF(S35="KHR",'Config Data'!$D$21,IF(S35="USD",'Config Data'!$D$23,""))))))</f>
        <v>30</v>
      </c>
      <c r="P35" s="133" t="s">
        <v>105</v>
      </c>
      <c r="Q35" s="151" t="str">
        <f>IF('Config Data'!$B$29=FALSE,IF(P35="Merchant App PSP",IF(S35="KHR",'Config Data'!$E$34,'Config Data'!$E$35),IF(P35="Merchant App FC",IF(S35="KHR",'Config Data'!$E$33,'Config Data'!$E$32))),IF(P35="Merchant App PSP",IF(S35="KHR",'Config Data'!$D$34,'Config Data'!$D$35),IF(P35="Merchant App FC",IF(S35="KHR",'Config Data'!$D$33,'Config Data'!$D$32))))</f>
        <v>00020101021130510014wing_khqr@wing01065331350207WINGPAY0308MERCHANT5204721153038405802KH5923PMOTest Youhai Ren Shop6010Phnom Penh6105120006304B296</v>
      </c>
      <c r="R35" s="131" t="s">
        <v>106</v>
      </c>
      <c r="S35" s="133" t="s">
        <v>32</v>
      </c>
      <c r="T35" s="130" t="s">
        <v>275</v>
      </c>
      <c r="U35" s="133" t="s">
        <v>260</v>
      </c>
      <c r="V35" s="130" t="s">
        <v>356</v>
      </c>
      <c r="W35" s="130" t="s">
        <v>357</v>
      </c>
      <c r="X35" s="147" t="s">
        <v>278</v>
      </c>
      <c r="Y35" s="130" t="s">
        <v>279</v>
      </c>
      <c r="Z35" s="130" t="s">
        <v>280</v>
      </c>
      <c r="AA35" s="130" t="s">
        <v>281</v>
      </c>
      <c r="AB35" s="130" t="s">
        <v>282</v>
      </c>
      <c r="AC35" s="134" t="str">
        <f>HYPERLINK("Screenshots/QR Pay (Scan)/TCRT-0031","View Screenshots")</f>
        <v>View Screenshots</v>
      </c>
      <c r="AD35" s="148"/>
      <c r="AE35" s="136"/>
      <c r="AF35" s="124"/>
    </row>
    <row r="36" ht="59" customHeight="1" spans="1:32">
      <c r="A36" s="119">
        <v>32</v>
      </c>
      <c r="B36" s="120" t="s">
        <v>117</v>
      </c>
      <c r="C36" s="137"/>
      <c r="D36" s="138"/>
      <c r="E36" s="140" t="s">
        <v>118</v>
      </c>
      <c r="F36" s="150" t="s">
        <v>25</v>
      </c>
      <c r="G36" s="141" t="s">
        <v>118</v>
      </c>
      <c r="H36" s="133" t="s">
        <v>30</v>
      </c>
      <c r="I36" s="184" t="str">
        <f>IF(H36="PSP",IF(K36="KHR",'Config Data'!$D$13,'Config Data'!$D$14),IF(H36="FC",IF(K36="KHR",'Config Data'!$D$15,'Config Data'!$D$16)))</f>
        <v>103634533</v>
      </c>
      <c r="J36" s="131" t="s">
        <v>31</v>
      </c>
      <c r="K36" s="133" t="s">
        <v>32</v>
      </c>
      <c r="L36" s="130" t="s">
        <v>346</v>
      </c>
      <c r="M36" s="129" t="s">
        <v>109</v>
      </c>
      <c r="N36" s="129" t="s">
        <v>29</v>
      </c>
      <c r="O36" s="128">
        <f>IF(AND(K36="USD",S36="KHR"),120000,IF(AND(K36="KHR",S36="USD"),30,IF(AND(K36="USD",S36="USD"),1,IF(AND(K36="KHR",S36="KHR"),4000,IF(S36="KHR",'Config Data'!$D$21,IF(S36="USD",'Config Data'!$D$23,""))))))</f>
        <v>120000</v>
      </c>
      <c r="P36" s="126" t="s">
        <v>110</v>
      </c>
      <c r="Q36" s="151" t="str">
        <f>IF('Config Data'!$B$29=FALSE,IF(P36="Merchant App PSP",IF(S36="KHR",'Config Data'!$E$34,'Config Data'!$E$35),IF(P36="Merchant App FC",IF(S36="KHR",'Config Data'!$E$33,'Config Data'!$E$32))),IF(P36="Merchant App PSP",IF(S36="KHR",'Config Data'!$D$34,'Config Data'!$D$35),IF(P36="Merchant App FC",IF(S36="KHR",'Config Data'!$D$33,'Config Data'!$D$32))))</f>
        <v>00020101021130420014wing_khqr@wing01090001342930207WINGPAY5204599953031165802KH5919PMOTEST HAI CAR SOP6010Phnom Penh624401062571730211855959890720715FCCMPY00035927863047A8A</v>
      </c>
      <c r="R36" s="126" t="s">
        <v>111</v>
      </c>
      <c r="S36" s="126" t="s">
        <v>28</v>
      </c>
      <c r="T36" s="130" t="s">
        <v>287</v>
      </c>
      <c r="U36" s="133" t="s">
        <v>261</v>
      </c>
      <c r="V36" s="130" t="s">
        <v>358</v>
      </c>
      <c r="W36" s="130" t="s">
        <v>359</v>
      </c>
      <c r="X36" s="147" t="s">
        <v>278</v>
      </c>
      <c r="Y36" s="130" t="s">
        <v>279</v>
      </c>
      <c r="Z36" s="130" t="s">
        <v>280</v>
      </c>
      <c r="AA36" s="130" t="s">
        <v>281</v>
      </c>
      <c r="AB36" s="130" t="s">
        <v>282</v>
      </c>
      <c r="AC36" s="134" t="str">
        <f>HYPERLINK("Screenshots/QR Pay (Scan)/TCRT-0032","View Screenshots")</f>
        <v>View Screenshots</v>
      </c>
      <c r="AD36" s="148"/>
      <c r="AE36" s="136"/>
      <c r="AF36" s="124"/>
    </row>
    <row r="37" ht="59" customHeight="1" spans="1:32">
      <c r="A37" s="119">
        <v>33</v>
      </c>
      <c r="B37" s="120" t="s">
        <v>119</v>
      </c>
      <c r="C37" s="137"/>
      <c r="D37" s="142"/>
      <c r="E37" s="140" t="s">
        <v>120</v>
      </c>
      <c r="F37" s="150" t="s">
        <v>25</v>
      </c>
      <c r="G37" s="141" t="s">
        <v>120</v>
      </c>
      <c r="H37" s="133" t="s">
        <v>30</v>
      </c>
      <c r="I37" s="184" t="str">
        <f>IF(H37="PSP",IF(K37="KHR",'Config Data'!$D$13,'Config Data'!$D$14),IF(H37="FC",IF(K37="KHR",'Config Data'!$D$15,'Config Data'!$D$16)))</f>
        <v>103634533</v>
      </c>
      <c r="J37" s="131" t="s">
        <v>31</v>
      </c>
      <c r="K37" s="133" t="s">
        <v>32</v>
      </c>
      <c r="L37" s="130" t="s">
        <v>346</v>
      </c>
      <c r="M37" s="129" t="s">
        <v>29</v>
      </c>
      <c r="N37" s="129" t="s">
        <v>29</v>
      </c>
      <c r="O37" s="128">
        <f>IF(AND(K37="USD",S37="KHR"),120000,IF(AND(K37="KHR",S37="USD"),30,IF(AND(K37="USD",S37="USD"),1,IF(AND(K37="KHR",S37="KHR"),4000,IF(S37="KHR",'Config Data'!$D$21,IF(S37="USD",'Config Data'!$D$23,""))))))</f>
        <v>120000</v>
      </c>
      <c r="P37" s="126" t="s">
        <v>105</v>
      </c>
      <c r="Q37" s="151" t="str">
        <f>IF('Config Data'!$B$29=FALSE,IF(P37="Merchant App PSP",IF(S37="KHR",'Config Data'!$E$34,'Config Data'!$E$35),IF(P37="Merchant App FC",IF(S37="KHR",'Config Data'!$E$33,'Config Data'!$E$32))),IF(P37="Merchant App PSP",IF(S37="KHR",'Config Data'!$D$34,'Config Data'!$D$35),IF(P37="Merchant App FC",IF(S37="KHR",'Config Data'!$D$33,'Config Data'!$D$32))))</f>
        <v>00020101021130510014wing_khqr@wing01065331340207WINGPAY0308MERCHANT5204721153031165802KH5923PMOTest Youhai Ren Shop6010Phnom Penh6105120006304D37B</v>
      </c>
      <c r="R37" s="126" t="s">
        <v>106</v>
      </c>
      <c r="S37" s="126" t="s">
        <v>28</v>
      </c>
      <c r="T37" s="130" t="s">
        <v>287</v>
      </c>
      <c r="U37" s="133" t="s">
        <v>261</v>
      </c>
      <c r="V37" s="130" t="s">
        <v>360</v>
      </c>
      <c r="W37" s="130" t="s">
        <v>361</v>
      </c>
      <c r="X37" s="147" t="s">
        <v>278</v>
      </c>
      <c r="Y37" s="130" t="s">
        <v>279</v>
      </c>
      <c r="Z37" s="130" t="s">
        <v>280</v>
      </c>
      <c r="AA37" s="130" t="s">
        <v>281</v>
      </c>
      <c r="AB37" s="130" t="s">
        <v>282</v>
      </c>
      <c r="AC37" s="134" t="str">
        <f>HYPERLINK("Screenshots/QR Pay (Scan)/TCRT-0033","View Screenshots")</f>
        <v>View Screenshots</v>
      </c>
      <c r="AD37" s="148"/>
      <c r="AE37" s="136"/>
      <c r="AF37" s="124"/>
    </row>
    <row r="38" ht="59" customHeight="1" spans="1:32">
      <c r="A38" s="119">
        <v>34</v>
      </c>
      <c r="B38" s="120" t="s">
        <v>121</v>
      </c>
      <c r="C38" s="137"/>
      <c r="D38" s="122" t="s">
        <v>122</v>
      </c>
      <c r="E38" s="123" t="s">
        <v>123</v>
      </c>
      <c r="F38" s="124" t="s">
        <v>25</v>
      </c>
      <c r="G38" s="125" t="s">
        <v>124</v>
      </c>
      <c r="H38" s="126" t="s">
        <v>30</v>
      </c>
      <c r="I38" s="184" t="str">
        <f>IF(H38="PSP",IF(K38="KHR",'Config Data'!$D$13,'Config Data'!$D$14),IF(H38="FC",IF(K38="KHR",'Config Data'!$D$15,'Config Data'!$D$16)))</f>
        <v>103634567</v>
      </c>
      <c r="J38" s="126" t="s">
        <v>31</v>
      </c>
      <c r="K38" s="126" t="s">
        <v>28</v>
      </c>
      <c r="L38" s="130" t="s">
        <v>343</v>
      </c>
      <c r="M38" s="129" t="s">
        <v>29</v>
      </c>
      <c r="N38" s="129" t="s">
        <v>29</v>
      </c>
      <c r="O38" s="128">
        <f>IF(AND(K38="USD",S38="KHR"),120000,IF(AND(K38="KHR",S38="USD"),30,IF(AND(K38="USD",S38="USD"),1,IF(AND(K38="KHR",S38="KHR"),4000,IF(S38="KHR",'Config Data'!$D$21,IF(S38="USD",'Config Data'!$D$23,""))))))</f>
        <v>30</v>
      </c>
      <c r="P38" s="133" t="s">
        <v>125</v>
      </c>
      <c r="Q38" s="187" t="str">
        <f>IF('Config Data'!$B$29=TRUE,IF(S38="USD",'Config Data'!$D$40,'Config Data'!$D$41),IF(S38="KHR",'Config Data'!$E$40,'Config Data'!$E$41))</f>
        <v>00020101021130510016abaakhppxxx@abaa01151260202084127730208ABA Bank5204597753038405802KH5909RORN MONY6010PHNOM PENH624268380010PAYWAY@ABA01071609752020903211772563048B49</v>
      </c>
      <c r="R38" s="133" t="s">
        <v>126</v>
      </c>
      <c r="S38" s="133" t="s">
        <v>32</v>
      </c>
      <c r="T38" s="130" t="s">
        <v>275</v>
      </c>
      <c r="U38" s="133" t="s">
        <v>260</v>
      </c>
      <c r="V38" s="130" t="s">
        <v>362</v>
      </c>
      <c r="W38" s="130" t="s">
        <v>363</v>
      </c>
      <c r="X38" s="147" t="s">
        <v>278</v>
      </c>
      <c r="Y38" s="130" t="s">
        <v>279</v>
      </c>
      <c r="Z38" s="130" t="s">
        <v>280</v>
      </c>
      <c r="AA38" s="130" t="s">
        <v>281</v>
      </c>
      <c r="AB38" s="130" t="s">
        <v>282</v>
      </c>
      <c r="AC38" s="134" t="str">
        <f>HYPERLINK("Screenshots/KHQR (WingBank to Merchant Other Bank)/TCRT-0034","View Screenshots")</f>
        <v>View Screenshots</v>
      </c>
      <c r="AD38" s="148"/>
      <c r="AE38" s="136"/>
      <c r="AF38" s="124"/>
    </row>
    <row r="39" ht="59" customHeight="1" spans="1:32">
      <c r="A39" s="119">
        <v>35</v>
      </c>
      <c r="B39" s="120" t="s">
        <v>127</v>
      </c>
      <c r="C39" s="137"/>
      <c r="D39" s="142"/>
      <c r="E39" s="123" t="s">
        <v>128</v>
      </c>
      <c r="F39" s="124" t="s">
        <v>25</v>
      </c>
      <c r="G39" s="125" t="s">
        <v>129</v>
      </c>
      <c r="H39" s="133" t="s">
        <v>26</v>
      </c>
      <c r="I39" s="184" t="str">
        <f>IF(H39="PSP",IF(K39="KHR",'Config Data'!$D$13,'Config Data'!$D$14),IF(H39="FC",IF(K39="KHR",'Config Data'!$D$15,'Config Data'!$D$16)))</f>
        <v>07782087</v>
      </c>
      <c r="J39" s="131" t="s">
        <v>27</v>
      </c>
      <c r="K39" s="133" t="s">
        <v>32</v>
      </c>
      <c r="L39" s="130" t="s">
        <v>351</v>
      </c>
      <c r="M39" s="129" t="s">
        <v>29</v>
      </c>
      <c r="N39" s="129" t="s">
        <v>29</v>
      </c>
      <c r="O39" s="128">
        <f>IF(AND(K39="USD",S39="KHR"),120000,IF(AND(K39="KHR",S39="USD"),30,IF(AND(K39="USD",S39="USD"),1,IF(AND(K39="KHR",S39="KHR"),4000,IF(S39="KHR",'Config Data'!$D$21,IF(S39="USD",'Config Data'!$D$23,""))))))</f>
        <v>120000</v>
      </c>
      <c r="P39" s="126" t="s">
        <v>125</v>
      </c>
      <c r="Q39" s="187" t="str">
        <f>IF('Config Data'!$B$29=TRUE,IF(S39="USD",'Config Data'!$D$40,'Config Data'!$D$41),IF(S39="KHR",'Config Data'!$E$40,'Config Data'!$E$41))</f>
        <v>00020101021130510016abaakhppxxx@abaa01151260202084127730208ABA Bank5204597753031165802KH5909RORN MONY6010PHNOM PENH624268380010PAYWAY@ABA01071609752020903211772563049D7B</v>
      </c>
      <c r="R39" s="126" t="s">
        <v>126</v>
      </c>
      <c r="S39" s="126" t="s">
        <v>28</v>
      </c>
      <c r="T39" s="130" t="s">
        <v>287</v>
      </c>
      <c r="U39" s="133" t="s">
        <v>261</v>
      </c>
      <c r="V39" s="130" t="s">
        <v>364</v>
      </c>
      <c r="W39" s="130" t="s">
        <v>365</v>
      </c>
      <c r="X39" s="147" t="s">
        <v>278</v>
      </c>
      <c r="Y39" s="130" t="s">
        <v>279</v>
      </c>
      <c r="Z39" s="130" t="s">
        <v>280</v>
      </c>
      <c r="AA39" s="130" t="s">
        <v>281</v>
      </c>
      <c r="AB39" s="130" t="s">
        <v>282</v>
      </c>
      <c r="AC39" s="134" t="str">
        <f>HYPERLINK("Screenshots/KHQR (WingBank to Merchant Other Bank)/TCRT-0035","View Screenshots")</f>
        <v>View Screenshots</v>
      </c>
      <c r="AD39" s="148"/>
      <c r="AE39" s="136"/>
      <c r="AF39" s="124"/>
    </row>
    <row r="40" ht="59" customHeight="1" spans="1:32">
      <c r="A40" s="119">
        <v>36</v>
      </c>
      <c r="B40" s="120" t="s">
        <v>130</v>
      </c>
      <c r="C40" s="137"/>
      <c r="D40" s="122" t="s">
        <v>131</v>
      </c>
      <c r="E40" s="123" t="s">
        <v>132</v>
      </c>
      <c r="F40" s="124" t="s">
        <v>25</v>
      </c>
      <c r="G40" s="125" t="s">
        <v>132</v>
      </c>
      <c r="H40" s="133" t="s">
        <v>26</v>
      </c>
      <c r="I40" s="184" t="str">
        <f>IF(H40="PSP",IF(K40="KHR",'Config Data'!$D$13,'Config Data'!$D$14),IF(H40="FC",IF(K40="KHR",'Config Data'!$D$15,'Config Data'!$D$16)))</f>
        <v>07782087</v>
      </c>
      <c r="J40" s="131" t="s">
        <v>27</v>
      </c>
      <c r="K40" s="133" t="s">
        <v>32</v>
      </c>
      <c r="L40" s="130" t="s">
        <v>366</v>
      </c>
      <c r="M40" s="129" t="s">
        <v>29</v>
      </c>
      <c r="N40" s="129" t="s">
        <v>29</v>
      </c>
      <c r="O40" s="128">
        <v>1000</v>
      </c>
      <c r="P40" s="126" t="s">
        <v>133</v>
      </c>
      <c r="Q40" s="132">
        <f>'Config Data'!D$51</f>
        <v>94132110</v>
      </c>
      <c r="R40" s="126" t="s">
        <v>133</v>
      </c>
      <c r="S40" s="126" t="s">
        <v>28</v>
      </c>
      <c r="T40" s="130" t="s">
        <v>287</v>
      </c>
      <c r="U40" s="133" t="s">
        <v>261</v>
      </c>
      <c r="V40" s="130" t="s">
        <v>367</v>
      </c>
      <c r="W40" s="130" t="s">
        <v>368</v>
      </c>
      <c r="X40" s="147" t="s">
        <v>278</v>
      </c>
      <c r="Y40" s="130" t="s">
        <v>279</v>
      </c>
      <c r="Z40" s="130" t="s">
        <v>280</v>
      </c>
      <c r="AA40" s="130" t="s">
        <v>281</v>
      </c>
      <c r="AB40" s="130" t="s">
        <v>282</v>
      </c>
      <c r="AC40" s="134" t="str">
        <f>HYPERLINK("Screenshots/Billpay to EDC/TCRT-0036","View Screenshots")</f>
        <v>View Screenshots</v>
      </c>
      <c r="AD40" s="148"/>
      <c r="AE40" s="136"/>
      <c r="AF40" s="129"/>
    </row>
    <row r="41" ht="59" customHeight="1" spans="1:32">
      <c r="A41" s="119">
        <v>37</v>
      </c>
      <c r="B41" s="120" t="s">
        <v>134</v>
      </c>
      <c r="C41" s="137"/>
      <c r="D41" s="142"/>
      <c r="E41" s="123" t="s">
        <v>135</v>
      </c>
      <c r="F41" s="124" t="s">
        <v>25</v>
      </c>
      <c r="G41" s="125" t="s">
        <v>135</v>
      </c>
      <c r="H41" s="133" t="s">
        <v>30</v>
      </c>
      <c r="I41" s="184" t="str">
        <f>IF(H41="PSP",IF(K41="KHR",'Config Data'!$D$13,'Config Data'!$D$14),IF(H41="FC",IF(K41="KHR",'Config Data'!$D$15,'Config Data'!$D$16)))</f>
        <v>103634533</v>
      </c>
      <c r="J41" s="131" t="s">
        <v>31</v>
      </c>
      <c r="K41" s="133" t="s">
        <v>32</v>
      </c>
      <c r="L41" s="130" t="s">
        <v>369</v>
      </c>
      <c r="M41" s="129" t="s">
        <v>29</v>
      </c>
      <c r="N41" s="129" t="s">
        <v>29</v>
      </c>
      <c r="O41" s="128">
        <v>1000</v>
      </c>
      <c r="P41" s="126" t="s">
        <v>133</v>
      </c>
      <c r="Q41" s="132">
        <f>'Config Data'!D$51</f>
        <v>94132110</v>
      </c>
      <c r="R41" s="126" t="s">
        <v>133</v>
      </c>
      <c r="S41" s="126" t="s">
        <v>28</v>
      </c>
      <c r="T41" s="130" t="s">
        <v>287</v>
      </c>
      <c r="U41" s="133" t="s">
        <v>261</v>
      </c>
      <c r="V41" s="130" t="s">
        <v>370</v>
      </c>
      <c r="W41" s="130" t="s">
        <v>371</v>
      </c>
      <c r="X41" s="147" t="s">
        <v>278</v>
      </c>
      <c r="Y41" s="130" t="s">
        <v>279</v>
      </c>
      <c r="Z41" s="130" t="s">
        <v>280</v>
      </c>
      <c r="AA41" s="130" t="s">
        <v>281</v>
      </c>
      <c r="AB41" s="130" t="s">
        <v>282</v>
      </c>
      <c r="AC41" s="134" t="str">
        <f>HYPERLINK("Screenshots/Billpay to EDC/TCRT-0037","View Screenshots")</f>
        <v>View Screenshots</v>
      </c>
      <c r="AD41" s="148"/>
      <c r="AE41" s="136"/>
      <c r="AF41" s="129"/>
    </row>
    <row r="42" ht="59" customHeight="1" spans="1:32">
      <c r="A42" s="119">
        <v>38</v>
      </c>
      <c r="B42" s="120" t="s">
        <v>136</v>
      </c>
      <c r="C42" s="137"/>
      <c r="D42" s="122" t="s">
        <v>137</v>
      </c>
      <c r="E42" s="123" t="s">
        <v>138</v>
      </c>
      <c r="F42" s="124" t="s">
        <v>25</v>
      </c>
      <c r="G42" s="125" t="s">
        <v>138</v>
      </c>
      <c r="H42" s="133" t="s">
        <v>26</v>
      </c>
      <c r="I42" s="184" t="str">
        <f>IF(H42="PSP",IF(K42="KHR",'Config Data'!$D$13,'Config Data'!$D$14),IF(H42="FC",IF(K42="KHR",'Config Data'!$D$15,'Config Data'!$D$16)))</f>
        <v>07782087</v>
      </c>
      <c r="J42" s="131" t="s">
        <v>27</v>
      </c>
      <c r="K42" s="133" t="s">
        <v>32</v>
      </c>
      <c r="L42" s="130" t="s">
        <v>300</v>
      </c>
      <c r="M42" s="129" t="s">
        <v>29</v>
      </c>
      <c r="N42" s="129" t="s">
        <v>29</v>
      </c>
      <c r="O42" s="128">
        <f>IF(AND(K42="USD",S42="KHR"),120000,IF(AND(K42="KHR",S42="USD"),30,IF(AND(K42="USD",S42="USD"),1,IF(AND(K42="KHR",S42="KHR"),4000,IF(S42="KHR",'Config Data'!$D$21,IF(S42="USD",'Config Data'!$D$23,""))))))</f>
        <v>1</v>
      </c>
      <c r="P42" s="133" t="s">
        <v>139</v>
      </c>
      <c r="Q42" s="185" t="str">
        <f>IF(P42="ABA Bank",IF(S42="KHR",'Config Data'!$D$49,'Config Data'!$D$48),"")</f>
        <v>004426857</v>
      </c>
      <c r="R42" s="133" t="s">
        <v>140</v>
      </c>
      <c r="S42" s="133" t="s">
        <v>32</v>
      </c>
      <c r="T42" s="130" t="s">
        <v>282</v>
      </c>
      <c r="U42" s="133" t="s">
        <v>60</v>
      </c>
      <c r="V42" s="130" t="s">
        <v>372</v>
      </c>
      <c r="W42" s="130" t="s">
        <v>371</v>
      </c>
      <c r="X42" s="147" t="s">
        <v>278</v>
      </c>
      <c r="Y42" s="130" t="s">
        <v>279</v>
      </c>
      <c r="Z42" s="130" t="s">
        <v>280</v>
      </c>
      <c r="AA42" s="130" t="s">
        <v>281</v>
      </c>
      <c r="AB42" s="130" t="s">
        <v>282</v>
      </c>
      <c r="AC42" s="134" t="str">
        <f>HYPERLINK("Screenshots/Billpay to Other Bank (ABA)/TCRT-0038","View Screenshots")</f>
        <v>View Screenshots</v>
      </c>
      <c r="AD42" s="148"/>
      <c r="AE42" s="136"/>
      <c r="AF42" s="129"/>
    </row>
    <row r="43" ht="59" customHeight="1" spans="1:32">
      <c r="A43" s="119">
        <v>39</v>
      </c>
      <c r="B43" s="120" t="s">
        <v>141</v>
      </c>
      <c r="C43" s="137"/>
      <c r="D43" s="142"/>
      <c r="E43" s="123" t="s">
        <v>142</v>
      </c>
      <c r="F43" s="124" t="s">
        <v>25</v>
      </c>
      <c r="G43" s="125" t="s">
        <v>142</v>
      </c>
      <c r="H43" s="126" t="s">
        <v>30</v>
      </c>
      <c r="I43" s="184" t="str">
        <f>IF(H43="PSP",IF(K43="KHR",'Config Data'!$D$13,'Config Data'!$D$14),IF(H43="FC",IF(K43="KHR",'Config Data'!$D$15,'Config Data'!$D$16)))</f>
        <v>103634567</v>
      </c>
      <c r="J43" s="126" t="s">
        <v>31</v>
      </c>
      <c r="K43" s="126" t="s">
        <v>28</v>
      </c>
      <c r="L43" s="130" t="s">
        <v>343</v>
      </c>
      <c r="M43" s="129" t="s">
        <v>29</v>
      </c>
      <c r="N43" s="129" t="s">
        <v>29</v>
      </c>
      <c r="O43" s="128">
        <f>IF(AND(K43="USD",S43="KHR"),120000,IF(AND(K43="KHR",S43="USD"),30,IF(AND(K43="USD",S43="USD"),1,IF(AND(K43="KHR",S43="KHR"),4000,IF(S43="KHR",'Config Data'!$D$21,IF(S43="USD",'Config Data'!$D$23,""))))))</f>
        <v>30</v>
      </c>
      <c r="P43" s="133" t="s">
        <v>139</v>
      </c>
      <c r="Q43" s="185" t="str">
        <f>IF(P43="ABA Bank",IF(S43="KHR",'Config Data'!$D$49,'Config Data'!$D$48),"")</f>
        <v>004426857</v>
      </c>
      <c r="R43" s="133" t="s">
        <v>140</v>
      </c>
      <c r="S43" s="133" t="s">
        <v>32</v>
      </c>
      <c r="T43" s="130" t="s">
        <v>275</v>
      </c>
      <c r="U43" s="133" t="s">
        <v>260</v>
      </c>
      <c r="V43" s="130" t="s">
        <v>373</v>
      </c>
      <c r="W43" s="130" t="s">
        <v>374</v>
      </c>
      <c r="X43" s="147" t="s">
        <v>278</v>
      </c>
      <c r="Y43" s="130" t="s">
        <v>279</v>
      </c>
      <c r="Z43" s="130" t="s">
        <v>280</v>
      </c>
      <c r="AA43" s="130" t="s">
        <v>281</v>
      </c>
      <c r="AB43" s="130" t="s">
        <v>282</v>
      </c>
      <c r="AC43" s="134" t="str">
        <f>HYPERLINK("Screenshots/Billpay to Other Bank (ABA)/TCRT-0039","View Screenshots")</f>
        <v>View Screenshots</v>
      </c>
      <c r="AD43" s="148"/>
      <c r="AE43" s="136"/>
      <c r="AF43" s="124"/>
    </row>
    <row r="44" ht="59" customHeight="1" spans="1:32">
      <c r="A44" s="119">
        <v>40</v>
      </c>
      <c r="B44" s="120" t="s">
        <v>143</v>
      </c>
      <c r="C44" s="137"/>
      <c r="D44" s="122" t="s">
        <v>144</v>
      </c>
      <c r="E44" s="123" t="s">
        <v>145</v>
      </c>
      <c r="F44" s="124" t="s">
        <v>25</v>
      </c>
      <c r="G44" s="125" t="s">
        <v>146</v>
      </c>
      <c r="H44" s="133" t="s">
        <v>26</v>
      </c>
      <c r="I44" s="184" t="str">
        <f>IF(H44="PSP",IF(K44="KHR",'Config Data'!$D$13,'Config Data'!$D$14),IF(H44="FC",IF(K44="KHR",'Config Data'!$D$15,'Config Data'!$D$16)))</f>
        <v>07782087</v>
      </c>
      <c r="J44" s="131" t="s">
        <v>27</v>
      </c>
      <c r="K44" s="133" t="s">
        <v>32</v>
      </c>
      <c r="L44" s="130" t="s">
        <v>366</v>
      </c>
      <c r="M44" s="129" t="s">
        <v>29</v>
      </c>
      <c r="N44" s="129" t="s">
        <v>29</v>
      </c>
      <c r="O44" s="128">
        <v>1000</v>
      </c>
      <c r="P44" s="126" t="s">
        <v>147</v>
      </c>
      <c r="Q44" s="185" t="str">
        <f>'Config Data'!D$50</f>
        <v>086938457</v>
      </c>
      <c r="R44" s="126" t="s">
        <v>147</v>
      </c>
      <c r="S44" s="126" t="s">
        <v>28</v>
      </c>
      <c r="T44" s="130" t="s">
        <v>287</v>
      </c>
      <c r="U44" s="133" t="s">
        <v>261</v>
      </c>
      <c r="V44" s="130" t="s">
        <v>375</v>
      </c>
      <c r="W44" s="130" t="s">
        <v>376</v>
      </c>
      <c r="X44" s="147" t="s">
        <v>278</v>
      </c>
      <c r="Y44" s="130" t="s">
        <v>279</v>
      </c>
      <c r="Z44" s="130" t="s">
        <v>280</v>
      </c>
      <c r="AA44" s="130" t="s">
        <v>281</v>
      </c>
      <c r="AB44" s="130" t="s">
        <v>282</v>
      </c>
      <c r="AC44" s="134" t="str">
        <f>HYPERLINK("Screenshots/Billpay to Angkor Hospital/TCRT-0040","View Screenshots")</f>
        <v>View Screenshots</v>
      </c>
      <c r="AD44" s="148"/>
      <c r="AE44" s="136"/>
      <c r="AF44" s="124"/>
    </row>
    <row r="45" ht="59" customHeight="1" spans="1:32">
      <c r="A45" s="119">
        <v>41</v>
      </c>
      <c r="B45" s="120" t="s">
        <v>148</v>
      </c>
      <c r="C45" s="137"/>
      <c r="D45" s="142"/>
      <c r="E45" s="123" t="s">
        <v>149</v>
      </c>
      <c r="F45" s="124" t="s">
        <v>25</v>
      </c>
      <c r="G45" s="125" t="s">
        <v>149</v>
      </c>
      <c r="H45" s="133" t="s">
        <v>30</v>
      </c>
      <c r="I45" s="184" t="str">
        <f>IF(H45="PSP",IF(K45="KHR",'Config Data'!$D$13,'Config Data'!$D$14),IF(H45="FC",IF(K45="KHR",'Config Data'!$D$15,'Config Data'!$D$16)))</f>
        <v>103634533</v>
      </c>
      <c r="J45" s="131" t="s">
        <v>31</v>
      </c>
      <c r="K45" s="133" t="s">
        <v>32</v>
      </c>
      <c r="L45" s="130" t="s">
        <v>369</v>
      </c>
      <c r="M45" s="129" t="s">
        <v>29</v>
      </c>
      <c r="N45" s="129" t="s">
        <v>29</v>
      </c>
      <c r="O45" s="128">
        <v>1000</v>
      </c>
      <c r="P45" s="126" t="s">
        <v>147</v>
      </c>
      <c r="Q45" s="185" t="str">
        <f>'Config Data'!D$50</f>
        <v>086938457</v>
      </c>
      <c r="R45" s="126" t="s">
        <v>147</v>
      </c>
      <c r="S45" s="126" t="s">
        <v>28</v>
      </c>
      <c r="T45" s="130" t="s">
        <v>287</v>
      </c>
      <c r="U45" s="133" t="s">
        <v>261</v>
      </c>
      <c r="V45" s="130" t="s">
        <v>377</v>
      </c>
      <c r="W45" s="130" t="s">
        <v>376</v>
      </c>
      <c r="X45" s="147" t="s">
        <v>278</v>
      </c>
      <c r="Y45" s="130" t="s">
        <v>279</v>
      </c>
      <c r="Z45" s="130" t="s">
        <v>280</v>
      </c>
      <c r="AA45" s="130" t="s">
        <v>281</v>
      </c>
      <c r="AB45" s="130" t="s">
        <v>282</v>
      </c>
      <c r="AC45" s="134" t="str">
        <f>HYPERLINK("Screenshots/Billpay to Angkor Hospital/TCRT-0041","View Screenshots")</f>
        <v>View Screenshots</v>
      </c>
      <c r="AD45" s="148"/>
      <c r="AE45" s="136"/>
      <c r="AF45" s="124"/>
    </row>
    <row r="46" ht="59" customHeight="1" spans="1:32">
      <c r="A46" s="119">
        <v>42</v>
      </c>
      <c r="B46" s="120" t="s">
        <v>150</v>
      </c>
      <c r="C46" s="137"/>
      <c r="D46" s="122" t="s">
        <v>151</v>
      </c>
      <c r="E46" s="153" t="s">
        <v>152</v>
      </c>
      <c r="F46" s="154" t="s">
        <v>25</v>
      </c>
      <c r="G46" s="155" t="s">
        <v>153</v>
      </c>
      <c r="H46" s="133" t="s">
        <v>26</v>
      </c>
      <c r="I46" s="184" t="str">
        <f>IF(H46="PSP",IF(K46="KHR",'Config Data'!$D$13,'Config Data'!$D$14),IF(H46="FC",IF(K46="KHR",'Config Data'!$D$15,'Config Data'!$D$16)))</f>
        <v>07782087</v>
      </c>
      <c r="J46" s="131" t="s">
        <v>27</v>
      </c>
      <c r="K46" s="133" t="s">
        <v>32</v>
      </c>
      <c r="L46" s="130" t="s">
        <v>351</v>
      </c>
      <c r="M46" s="129" t="s">
        <v>29</v>
      </c>
      <c r="N46" s="129" t="s">
        <v>29</v>
      </c>
      <c r="O46" s="128">
        <f>IF(AND(K46="USD",S46="KHR"),120000,IF(AND(K46="KHR",S46="USD"),30,IF(AND(K46="USD",S46="USD"),1,IF(AND(K46="KHR",S46="KHR"),4000,IF(S46="KHR",'Config Data'!$D$21,IF(S46="USD",'Config Data'!$D$23,""))))))</f>
        <v>120000</v>
      </c>
      <c r="P46" s="126" t="s">
        <v>154</v>
      </c>
      <c r="Q46" s="185" t="str">
        <f>'Config Data'!D$50</f>
        <v>086938457</v>
      </c>
      <c r="R46" s="126" t="s">
        <v>154</v>
      </c>
      <c r="S46" s="126" t="s">
        <v>28</v>
      </c>
      <c r="T46" s="130" t="s">
        <v>287</v>
      </c>
      <c r="U46" s="133" t="s">
        <v>261</v>
      </c>
      <c r="V46" s="130" t="s">
        <v>378</v>
      </c>
      <c r="W46" s="130" t="s">
        <v>376</v>
      </c>
      <c r="X46" s="147" t="s">
        <v>278</v>
      </c>
      <c r="Y46" s="130" t="s">
        <v>279</v>
      </c>
      <c r="Z46" s="130" t="s">
        <v>280</v>
      </c>
      <c r="AA46" s="130" t="s">
        <v>281</v>
      </c>
      <c r="AB46" s="130" t="s">
        <v>282</v>
      </c>
      <c r="AC46" s="134" t="str">
        <f>HYPERLINK("Screenshots/Billpay to Bakong Wallet/TCRT-0042","View Screenshots")</f>
        <v>View Screenshots</v>
      </c>
      <c r="AD46" s="148"/>
      <c r="AE46" s="136"/>
      <c r="AF46" s="129"/>
    </row>
    <row r="47" ht="59" customHeight="1" spans="1:32">
      <c r="A47" s="119">
        <v>43</v>
      </c>
      <c r="B47" s="120" t="s">
        <v>155</v>
      </c>
      <c r="C47" s="137"/>
      <c r="D47" s="142"/>
      <c r="E47" s="153" t="s">
        <v>152</v>
      </c>
      <c r="F47" s="154" t="s">
        <v>25</v>
      </c>
      <c r="G47" s="155" t="s">
        <v>156</v>
      </c>
      <c r="H47" s="126" t="s">
        <v>30</v>
      </c>
      <c r="I47" s="184" t="str">
        <f>IF(H47="PSP",IF(K47="KHR",'Config Data'!$D$13,'Config Data'!$D$14),IF(H47="FC",IF(K47="KHR",'Config Data'!$D$15,'Config Data'!$D$16)))</f>
        <v>103634567</v>
      </c>
      <c r="J47" s="126" t="s">
        <v>31</v>
      </c>
      <c r="K47" s="126" t="s">
        <v>28</v>
      </c>
      <c r="L47" s="130" t="s">
        <v>343</v>
      </c>
      <c r="M47" s="129" t="s">
        <v>29</v>
      </c>
      <c r="N47" s="129" t="s">
        <v>29</v>
      </c>
      <c r="O47" s="128">
        <f>IF(AND(K47="USD",S47="KHR"),120000,IF(AND(K47="KHR",S47="USD"),30,IF(AND(K47="USD",S47="USD"),1,IF(AND(K47="KHR",S47="KHR"),4000,IF(S47="KHR",'Config Data'!$D$21,IF(S47="USD",'Config Data'!$D$23,""))))))</f>
        <v>30</v>
      </c>
      <c r="P47" s="131" t="s">
        <v>154</v>
      </c>
      <c r="Q47" s="185" t="str">
        <f>'Config Data'!D$50</f>
        <v>086938457</v>
      </c>
      <c r="R47" s="131" t="s">
        <v>154</v>
      </c>
      <c r="S47" s="131" t="s">
        <v>32</v>
      </c>
      <c r="T47" s="130" t="s">
        <v>275</v>
      </c>
      <c r="U47" s="133" t="s">
        <v>260</v>
      </c>
      <c r="V47" s="130" t="s">
        <v>379</v>
      </c>
      <c r="W47" s="130" t="s">
        <v>380</v>
      </c>
      <c r="X47" s="156" t="s">
        <v>278</v>
      </c>
      <c r="Y47" s="130" t="s">
        <v>282</v>
      </c>
      <c r="Z47" s="130" t="s">
        <v>280</v>
      </c>
      <c r="AA47" s="130" t="s">
        <v>281</v>
      </c>
      <c r="AB47" s="130" t="s">
        <v>282</v>
      </c>
      <c r="AC47" s="130" t="str">
        <f>HYPERLINK("Screenshots/Billpay to Bakong Wallet/TCRT-0043","View Screenshots")</f>
        <v>TCRT-0043</v>
      </c>
      <c r="AD47" s="148"/>
      <c r="AE47" s="136"/>
      <c r="AF47" s="129"/>
    </row>
    <row r="48" ht="59" customHeight="1" spans="1:32">
      <c r="A48" s="119">
        <v>44</v>
      </c>
      <c r="B48" s="120" t="s">
        <v>157</v>
      </c>
      <c r="C48" s="137"/>
      <c r="D48" s="122" t="s">
        <v>158</v>
      </c>
      <c r="E48" s="153" t="s">
        <v>159</v>
      </c>
      <c r="F48" s="154" t="s">
        <v>25</v>
      </c>
      <c r="G48" s="153" t="s">
        <v>160</v>
      </c>
      <c r="H48" s="133" t="s">
        <v>30</v>
      </c>
      <c r="I48" s="184" t="str">
        <f>IF(H48="PSP",IF(K48="KHR",'Config Data'!$D$13,'Config Data'!$D$14),IF(H48="FC",IF(K48="KHR",'Config Data'!$D$15,'Config Data'!$D$16)))</f>
        <v>103634533</v>
      </c>
      <c r="J48" s="131" t="s">
        <v>31</v>
      </c>
      <c r="K48" s="133" t="s">
        <v>32</v>
      </c>
      <c r="L48" s="130" t="s">
        <v>300</v>
      </c>
      <c r="M48" s="129" t="s">
        <v>29</v>
      </c>
      <c r="N48" s="129" t="s">
        <v>29</v>
      </c>
      <c r="O48" s="128"/>
      <c r="P48" s="133" t="s">
        <v>161</v>
      </c>
      <c r="Q48" s="132" t="s">
        <v>381</v>
      </c>
      <c r="R48" s="133" t="s">
        <v>162</v>
      </c>
      <c r="S48" s="133" t="s">
        <v>32</v>
      </c>
      <c r="T48" s="130" t="s">
        <v>282</v>
      </c>
      <c r="U48" s="133" t="s">
        <v>60</v>
      </c>
      <c r="V48" s="130" t="s">
        <v>382</v>
      </c>
      <c r="W48" s="130" t="s">
        <v>383</v>
      </c>
      <c r="X48" s="123" t="s">
        <v>384</v>
      </c>
      <c r="Y48" s="130" t="s">
        <v>279</v>
      </c>
      <c r="Z48" s="130" t="s">
        <v>280</v>
      </c>
      <c r="AA48" s="130" t="s">
        <v>281</v>
      </c>
      <c r="AB48" s="130" t="s">
        <v>282</v>
      </c>
      <c r="AC48" s="134" t="str">
        <f>HYPERLINK("Screenshots/Billpay to PPSHV Expressway/TCRT-0044","View Screenshots")</f>
        <v>View Screenshots</v>
      </c>
      <c r="AD48" s="148"/>
      <c r="AE48" s="136"/>
      <c r="AF48" s="129"/>
    </row>
    <row r="49" ht="59" customHeight="1" spans="1:32">
      <c r="A49" s="119">
        <v>45</v>
      </c>
      <c r="B49" s="120" t="s">
        <v>163</v>
      </c>
      <c r="C49" s="137"/>
      <c r="D49" s="142"/>
      <c r="E49" s="153" t="s">
        <v>159</v>
      </c>
      <c r="F49" s="154" t="s">
        <v>25</v>
      </c>
      <c r="G49" s="153" t="s">
        <v>164</v>
      </c>
      <c r="H49" s="133" t="s">
        <v>26</v>
      </c>
      <c r="I49" s="184" t="str">
        <f>IF(H49="PSP",IF(K49="KHR",'Config Data'!$D$13,'Config Data'!$D$14),IF(H49="FC",IF(K49="KHR",'Config Data'!$D$15,'Config Data'!$D$16)))</f>
        <v>07782087</v>
      </c>
      <c r="J49" s="131" t="s">
        <v>27</v>
      </c>
      <c r="K49" s="133" t="s">
        <v>32</v>
      </c>
      <c r="L49" s="130" t="s">
        <v>300</v>
      </c>
      <c r="M49" s="129" t="s">
        <v>29</v>
      </c>
      <c r="N49" s="129" t="s">
        <v>29</v>
      </c>
      <c r="O49" s="128"/>
      <c r="P49" s="133" t="s">
        <v>161</v>
      </c>
      <c r="Q49" s="132" t="s">
        <v>381</v>
      </c>
      <c r="R49" s="133" t="s">
        <v>162</v>
      </c>
      <c r="S49" s="133" t="s">
        <v>32</v>
      </c>
      <c r="T49" s="130" t="s">
        <v>282</v>
      </c>
      <c r="U49" s="133" t="s">
        <v>60</v>
      </c>
      <c r="V49" s="130" t="s">
        <v>385</v>
      </c>
      <c r="W49" s="130" t="s">
        <v>383</v>
      </c>
      <c r="X49" s="123" t="s">
        <v>384</v>
      </c>
      <c r="Y49" s="130" t="s">
        <v>279</v>
      </c>
      <c r="Z49" s="130" t="s">
        <v>280</v>
      </c>
      <c r="AA49" s="130" t="s">
        <v>281</v>
      </c>
      <c r="AB49" s="130" t="s">
        <v>282</v>
      </c>
      <c r="AC49" s="134" t="str">
        <f>HYPERLINK("Screenshots/Billpay to PPSHV Expressway/TCRT-0045","View Screenshots")</f>
        <v>View Screenshots</v>
      </c>
      <c r="AD49" s="148"/>
      <c r="AE49" s="136"/>
      <c r="AF49" s="129"/>
    </row>
    <row r="50" ht="59" customHeight="1" spans="1:32">
      <c r="A50" s="119">
        <v>46</v>
      </c>
      <c r="B50" s="120" t="s">
        <v>165</v>
      </c>
      <c r="C50" s="137"/>
      <c r="D50" s="122" t="s">
        <v>166</v>
      </c>
      <c r="E50" s="123" t="s">
        <v>167</v>
      </c>
      <c r="F50" s="124" t="s">
        <v>25</v>
      </c>
      <c r="G50" s="125" t="s">
        <v>167</v>
      </c>
      <c r="H50" s="133" t="s">
        <v>26</v>
      </c>
      <c r="I50" s="184" t="str">
        <f>IF(H50="PSP",IF(K50="KHR",'Config Data'!$D$13,'Config Data'!$D$14),IF(H50="FC",IF(K50="KHR",'Config Data'!$D$15,'Config Data'!$D$16)))</f>
        <v>07782087</v>
      </c>
      <c r="J50" s="131" t="s">
        <v>27</v>
      </c>
      <c r="K50" s="133" t="s">
        <v>32</v>
      </c>
      <c r="L50" s="130" t="s">
        <v>386</v>
      </c>
      <c r="M50" s="154" t="s">
        <v>168</v>
      </c>
      <c r="N50" s="129" t="s">
        <v>169</v>
      </c>
      <c r="O50" s="145">
        <v>5</v>
      </c>
      <c r="P50" s="131" t="s">
        <v>170</v>
      </c>
      <c r="Q50" s="185" t="s">
        <v>387</v>
      </c>
      <c r="R50" s="131" t="s">
        <v>171</v>
      </c>
      <c r="S50" s="131" t="s">
        <v>32</v>
      </c>
      <c r="T50" s="130" t="s">
        <v>282</v>
      </c>
      <c r="U50" s="133" t="s">
        <v>60</v>
      </c>
      <c r="V50" s="130" t="s">
        <v>388</v>
      </c>
      <c r="W50" s="130" t="s">
        <v>389</v>
      </c>
      <c r="X50" s="147" t="s">
        <v>278</v>
      </c>
      <c r="Y50" s="130" t="s">
        <v>279</v>
      </c>
      <c r="Z50" s="130" t="s">
        <v>280</v>
      </c>
      <c r="AA50" s="130" t="s">
        <v>281</v>
      </c>
      <c r="AB50" s="130" t="s">
        <v>282</v>
      </c>
      <c r="AC50" s="134" t="str">
        <f>HYPERLINK("Screenshots/Cash Out Scan/TCRT-0046","View Screenshots")</f>
        <v>View Screenshots</v>
      </c>
      <c r="AD50" s="148"/>
      <c r="AE50" s="136"/>
      <c r="AF50" s="129"/>
    </row>
    <row r="51" ht="59" customHeight="1" spans="1:32">
      <c r="A51" s="119">
        <v>47</v>
      </c>
      <c r="B51" s="120" t="s">
        <v>172</v>
      </c>
      <c r="C51" s="137"/>
      <c r="D51" s="142"/>
      <c r="E51" s="123" t="s">
        <v>173</v>
      </c>
      <c r="F51" s="124" t="s">
        <v>25</v>
      </c>
      <c r="G51" s="125" t="s">
        <v>173</v>
      </c>
      <c r="H51" s="126" t="s">
        <v>30</v>
      </c>
      <c r="I51" s="184" t="str">
        <f>IF(H51="PSP",IF(K51="KHR",'Config Data'!$D$13,'Config Data'!$D$14),IF(H51="FC",IF(K51="KHR",'Config Data'!$D$15,'Config Data'!$D$16)))</f>
        <v>103634567</v>
      </c>
      <c r="J51" s="126" t="s">
        <v>31</v>
      </c>
      <c r="K51" s="126" t="s">
        <v>28</v>
      </c>
      <c r="L51" s="130" t="s">
        <v>390</v>
      </c>
      <c r="M51" s="154" t="s">
        <v>168</v>
      </c>
      <c r="N51" s="129" t="s">
        <v>174</v>
      </c>
      <c r="O51" s="128">
        <v>20000</v>
      </c>
      <c r="P51" s="126" t="s">
        <v>170</v>
      </c>
      <c r="Q51" s="185" t="s">
        <v>391</v>
      </c>
      <c r="R51" s="126" t="s">
        <v>171</v>
      </c>
      <c r="S51" s="126" t="s">
        <v>28</v>
      </c>
      <c r="T51" s="130" t="s">
        <v>282</v>
      </c>
      <c r="U51" s="133" t="s">
        <v>60</v>
      </c>
      <c r="V51" s="130" t="s">
        <v>392</v>
      </c>
      <c r="W51" s="130" t="s">
        <v>393</v>
      </c>
      <c r="X51" s="147" t="s">
        <v>278</v>
      </c>
      <c r="Y51" s="130" t="s">
        <v>279</v>
      </c>
      <c r="Z51" s="130" t="s">
        <v>280</v>
      </c>
      <c r="AA51" s="130" t="s">
        <v>281</v>
      </c>
      <c r="AB51" s="130" t="s">
        <v>282</v>
      </c>
      <c r="AC51" s="134" t="str">
        <f>HYPERLINK("Screenshots/Cash Out Scan/TCRT-0047","View Screenshots")</f>
        <v>View Screenshots</v>
      </c>
      <c r="AD51" s="148"/>
      <c r="AE51" s="136"/>
      <c r="AF51" s="129"/>
    </row>
    <row r="52" ht="59" customHeight="1" spans="1:32">
      <c r="A52" s="119">
        <v>48</v>
      </c>
      <c r="B52" s="120" t="s">
        <v>175</v>
      </c>
      <c r="C52" s="137"/>
      <c r="D52" s="122" t="s">
        <v>176</v>
      </c>
      <c r="E52" s="123" t="s">
        <v>177</v>
      </c>
      <c r="F52" s="124" t="s">
        <v>25</v>
      </c>
      <c r="G52" s="125" t="s">
        <v>177</v>
      </c>
      <c r="H52" s="133" t="s">
        <v>30</v>
      </c>
      <c r="I52" s="184" t="str">
        <f>IF(H52="PSP",IF(K52="KHR",'Config Data'!$D$13,'Config Data'!$D$14),IF(H52="FC",IF(K52="KHR",'Config Data'!$D$15,'Config Data'!$D$16)))</f>
        <v>103634533</v>
      </c>
      <c r="J52" s="131" t="s">
        <v>31</v>
      </c>
      <c r="K52" s="133" t="s">
        <v>32</v>
      </c>
      <c r="L52" s="128">
        <f>IF(AND(K52="USD",S52="KHR"),30,IF(AND(K52="KHR",S52="USD"),120000,IF(AND(K52="USD",S52="USD"),1,IF(AND(K52="KHR",S52="KHR"),4000,IF(S52="KHR",'Config Data'!$D$21,IF(S52="USD",'Config Data'!$D$23,""))))))</f>
        <v>30</v>
      </c>
      <c r="M52" s="129" t="s">
        <v>29</v>
      </c>
      <c r="N52" s="129" t="s">
        <v>29</v>
      </c>
      <c r="O52" s="130" t="s">
        <v>286</v>
      </c>
      <c r="P52" s="126" t="s">
        <v>26</v>
      </c>
      <c r="Q52" s="185" t="str">
        <f>IF(P52="PSP",IF(S52="KHR",'Config Data'!$D$13,'Config Data'!$D$14),IF(P52="FC",IF(S52="KHR",'Config Data'!$D$15,'Config Data'!$D$16)))</f>
        <v>07782083</v>
      </c>
      <c r="R52" s="126" t="s">
        <v>27</v>
      </c>
      <c r="S52" s="126" t="s">
        <v>28</v>
      </c>
      <c r="T52" s="130" t="s">
        <v>287</v>
      </c>
      <c r="U52" s="133" t="s">
        <v>261</v>
      </c>
      <c r="V52" s="130" t="s">
        <v>394</v>
      </c>
      <c r="W52" s="130" t="s">
        <v>395</v>
      </c>
      <c r="X52" s="147" t="s">
        <v>278</v>
      </c>
      <c r="Y52" s="130" t="s">
        <v>279</v>
      </c>
      <c r="Z52" s="130" t="s">
        <v>280</v>
      </c>
      <c r="AA52" s="130" t="s">
        <v>281</v>
      </c>
      <c r="AB52" s="130" t="s">
        <v>282</v>
      </c>
      <c r="AC52" s="134" t="str">
        <f>HYPERLINK("Screenshots/Own Account Transfer/TCRT-0048","View Screenshots")</f>
        <v>View Screenshots</v>
      </c>
      <c r="AD52" s="148"/>
      <c r="AE52" s="136"/>
      <c r="AF52" s="124"/>
    </row>
    <row r="53" ht="59" customHeight="1" spans="1:32">
      <c r="A53" s="119">
        <v>49</v>
      </c>
      <c r="B53" s="120" t="s">
        <v>178</v>
      </c>
      <c r="C53" s="137"/>
      <c r="D53" s="142"/>
      <c r="E53" s="123" t="s">
        <v>179</v>
      </c>
      <c r="F53" s="124" t="s">
        <v>25</v>
      </c>
      <c r="G53" s="125" t="s">
        <v>179</v>
      </c>
      <c r="H53" s="126" t="s">
        <v>26</v>
      </c>
      <c r="I53" s="184" t="str">
        <f>IF(H53="PSP",IF(K53="KHR",'Config Data'!$D$13,'Config Data'!$D$14),IF(H53="FC",IF(K53="KHR",'Config Data'!$D$15,'Config Data'!$D$16)))</f>
        <v>07782083</v>
      </c>
      <c r="J53" s="126" t="s">
        <v>27</v>
      </c>
      <c r="K53" s="126" t="s">
        <v>28</v>
      </c>
      <c r="L53" s="128">
        <f>IF(AND(K53="USD",S53="KHR"),30,IF(AND(K53="KHR",S53="USD"),120000,IF(AND(K53="USD",S53="USD"),1,IF(AND(K53="KHR",S53="KHR"),4000,IF(S53="KHR",'Config Data'!$D$21,IF(S53="USD",'Config Data'!$D$23,""))))))</f>
        <v>120000</v>
      </c>
      <c r="M53" s="129" t="s">
        <v>29</v>
      </c>
      <c r="N53" s="129" t="s">
        <v>29</v>
      </c>
      <c r="O53" s="130" t="s">
        <v>274</v>
      </c>
      <c r="P53" s="133" t="s">
        <v>30</v>
      </c>
      <c r="Q53" s="185" t="str">
        <f>IF(P53="PSP",IF(S53="KHR",'Config Data'!$D$13,'Config Data'!$D$14),IF(P53="FC",IF(S53="KHR",'Config Data'!$D$15,'Config Data'!$D$16)))</f>
        <v>103634533</v>
      </c>
      <c r="R53" s="131" t="s">
        <v>31</v>
      </c>
      <c r="S53" s="133" t="s">
        <v>32</v>
      </c>
      <c r="T53" s="130" t="s">
        <v>275</v>
      </c>
      <c r="U53" s="133" t="s">
        <v>260</v>
      </c>
      <c r="V53" s="130" t="s">
        <v>396</v>
      </c>
      <c r="W53" s="130" t="s">
        <v>397</v>
      </c>
      <c r="X53" s="147" t="s">
        <v>278</v>
      </c>
      <c r="Y53" s="130" t="s">
        <v>279</v>
      </c>
      <c r="Z53" s="130" t="s">
        <v>280</v>
      </c>
      <c r="AA53" s="130" t="s">
        <v>281</v>
      </c>
      <c r="AB53" s="130" t="s">
        <v>282</v>
      </c>
      <c r="AC53" s="134" t="str">
        <f>HYPERLINK("Screenshots/Own Account Transfer/TCRT-0049","View Screenshots")</f>
        <v>View Screenshots</v>
      </c>
      <c r="AD53" s="148"/>
      <c r="AE53" s="136"/>
      <c r="AF53" s="124"/>
    </row>
    <row r="54" ht="59" customHeight="1" spans="1:32">
      <c r="A54" s="119">
        <v>50</v>
      </c>
      <c r="B54" s="120" t="s">
        <v>180</v>
      </c>
      <c r="C54" s="137"/>
      <c r="D54" s="121" t="s">
        <v>181</v>
      </c>
      <c r="E54" s="147" t="s">
        <v>182</v>
      </c>
      <c r="F54" s="124" t="s">
        <v>25</v>
      </c>
      <c r="G54" s="125" t="s">
        <v>183</v>
      </c>
      <c r="H54" s="133" t="s">
        <v>30</v>
      </c>
      <c r="I54" s="184" t="str">
        <f>IF(H54="PSP",IF(K54="KHR",'Config Data'!$D$13,'Config Data'!$D$14),IF(H54="FC",IF(K54="KHR",'Config Data'!$D$15,'Config Data'!$D$16)))</f>
        <v>103634533</v>
      </c>
      <c r="J54" s="131" t="s">
        <v>31</v>
      </c>
      <c r="K54" s="133" t="s">
        <v>32</v>
      </c>
      <c r="L54" s="157"/>
      <c r="M54" s="129" t="s">
        <v>184</v>
      </c>
      <c r="N54" s="129" t="s">
        <v>29</v>
      </c>
      <c r="O54" s="128"/>
      <c r="P54" s="133" t="s">
        <v>60</v>
      </c>
      <c r="Q54" s="133" t="s">
        <v>60</v>
      </c>
      <c r="R54" s="133" t="s">
        <v>60</v>
      </c>
      <c r="S54" s="133" t="s">
        <v>185</v>
      </c>
      <c r="T54" s="133"/>
      <c r="U54" s="133" t="s">
        <v>60</v>
      </c>
      <c r="V54" s="158"/>
      <c r="W54" s="148"/>
      <c r="X54" s="147" t="s">
        <v>278</v>
      </c>
      <c r="Y54" s="159"/>
      <c r="Z54" s="160" t="s">
        <v>398</v>
      </c>
      <c r="AA54" s="129"/>
      <c r="AB54" s="161"/>
      <c r="AC54" s="134" t="str">
        <f>HYPERLINK("Screenshots/Wing to World/TCRT-0050","View Screenshots")</f>
        <v>View Screenshots</v>
      </c>
      <c r="AD54" s="148"/>
      <c r="AE54" s="136"/>
      <c r="AF54" s="129"/>
    </row>
    <row r="55" ht="59" customHeight="1" spans="1:32">
      <c r="A55" s="119">
        <v>51</v>
      </c>
      <c r="B55" s="120" t="s">
        <v>186</v>
      </c>
      <c r="C55" s="137"/>
      <c r="D55" s="162"/>
      <c r="E55" s="125" t="s">
        <v>182</v>
      </c>
      <c r="F55" s="124" t="s">
        <v>25</v>
      </c>
      <c r="G55" s="125" t="s">
        <v>187</v>
      </c>
      <c r="H55" s="133" t="s">
        <v>26</v>
      </c>
      <c r="I55" s="184" t="str">
        <f>IF(H55="PSP",IF(K55="KHR",'Config Data'!$D$13,'Config Data'!$D$14),IF(H55="FC",IF(K55="KHR",'Config Data'!$D$15,'Config Data'!$D$16)))</f>
        <v>07782087</v>
      </c>
      <c r="J55" s="131" t="s">
        <v>27</v>
      </c>
      <c r="K55" s="133" t="s">
        <v>32</v>
      </c>
      <c r="L55" s="157"/>
      <c r="M55" s="129" t="s">
        <v>184</v>
      </c>
      <c r="N55" s="129" t="s">
        <v>29</v>
      </c>
      <c r="O55" s="128"/>
      <c r="P55" s="133" t="s">
        <v>60</v>
      </c>
      <c r="Q55" s="133" t="s">
        <v>60</v>
      </c>
      <c r="R55" s="133" t="s">
        <v>60</v>
      </c>
      <c r="S55" s="133" t="s">
        <v>185</v>
      </c>
      <c r="T55" s="133"/>
      <c r="U55" s="133" t="s">
        <v>60</v>
      </c>
      <c r="V55" s="158"/>
      <c r="W55" s="148"/>
      <c r="X55" s="147" t="s">
        <v>278</v>
      </c>
      <c r="Y55" s="159"/>
      <c r="Z55" s="160" t="s">
        <v>398</v>
      </c>
      <c r="AA55" s="129"/>
      <c r="AB55" s="161"/>
      <c r="AC55" s="134" t="str">
        <f>HYPERLINK("Screenshots/Wing to World/TCRT-0051","View Screenshots")</f>
        <v>View Screenshots</v>
      </c>
      <c r="AD55" s="148"/>
      <c r="AE55" s="136"/>
      <c r="AF55" s="129"/>
    </row>
    <row r="56" ht="59" customHeight="1" spans="1:32">
      <c r="A56" s="119">
        <v>52</v>
      </c>
      <c r="B56" s="120" t="s">
        <v>188</v>
      </c>
      <c r="C56" s="137"/>
      <c r="D56" s="163" t="s">
        <v>189</v>
      </c>
      <c r="E56" s="164" t="s">
        <v>190</v>
      </c>
      <c r="F56" s="165" t="s">
        <v>25</v>
      </c>
      <c r="G56" s="164" t="s">
        <v>191</v>
      </c>
      <c r="H56" s="133" t="s">
        <v>30</v>
      </c>
      <c r="I56" s="184" t="str">
        <f>IF(H56="PSP",IF(K56="KHR",'Config Data'!$D$13,'Config Data'!$D$14),IF(H56="FC",IF(K56="KHR",'Config Data'!$D$15,'Config Data'!$D$16)))</f>
        <v>103634533</v>
      </c>
      <c r="J56" s="131" t="s">
        <v>31</v>
      </c>
      <c r="K56" s="133" t="s">
        <v>32</v>
      </c>
      <c r="L56" s="130" t="s">
        <v>346</v>
      </c>
      <c r="M56" s="130" t="s">
        <v>399</v>
      </c>
      <c r="N56" s="129" t="s">
        <v>29</v>
      </c>
      <c r="O56" s="128">
        <f>IF(AND(K56="USD",S56="KHR"),120000,IF(AND(K56="KHR",S56="USD"),30,IF(AND(K56="USD",S56="USD"),1,IF(AND(K56="KHR",S56="KHR"),4000,IF(S56="KHR",'Config Data'!$D$21,IF(S56="USD",'Config Data'!$D$23,""))))))</f>
        <v>120000</v>
      </c>
      <c r="P56" s="126" t="s">
        <v>139</v>
      </c>
      <c r="Q56" s="185" t="str">
        <f>IF(P56="ABA Bank",IF(S56="KHR",'Config Data'!$D$49,'Config Data'!$D$48),"")</f>
        <v>600901105</v>
      </c>
      <c r="R56" s="126" t="s">
        <v>193</v>
      </c>
      <c r="S56" s="126" t="s">
        <v>28</v>
      </c>
      <c r="T56" s="130" t="s">
        <v>287</v>
      </c>
      <c r="U56" s="133" t="s">
        <v>261</v>
      </c>
      <c r="V56" s="130" t="s">
        <v>400</v>
      </c>
      <c r="W56" s="130" t="s">
        <v>401</v>
      </c>
      <c r="X56" s="147" t="s">
        <v>278</v>
      </c>
      <c r="Y56" s="130" t="s">
        <v>279</v>
      </c>
      <c r="Z56" s="130" t="s">
        <v>280</v>
      </c>
      <c r="AA56" s="130" t="s">
        <v>281</v>
      </c>
      <c r="AB56" s="130" t="s">
        <v>282</v>
      </c>
      <c r="AC56" s="134" t="str">
        <f>HYPERLINK("Screenshots/Wing to Other Banks (Local Bank via Bakong)/TCRT-0052","View Screenshots")</f>
        <v>View Screenshots</v>
      </c>
      <c r="AD56" s="148"/>
      <c r="AE56" s="136"/>
      <c r="AF56" s="166"/>
    </row>
    <row r="57" ht="59" customHeight="1" spans="1:32">
      <c r="A57" s="119">
        <v>53</v>
      </c>
      <c r="B57" s="120" t="s">
        <v>194</v>
      </c>
      <c r="C57" s="137"/>
      <c r="D57" s="167"/>
      <c r="E57" s="164" t="s">
        <v>190</v>
      </c>
      <c r="F57" s="165" t="s">
        <v>25</v>
      </c>
      <c r="G57" s="164" t="s">
        <v>195</v>
      </c>
      <c r="H57" s="126" t="s">
        <v>30</v>
      </c>
      <c r="I57" s="184" t="str">
        <f>IF(H57="PSP",IF(K57="KHR",'Config Data'!$D$13,'Config Data'!$D$14),IF(H57="FC",IF(K57="KHR",'Config Data'!$D$15,'Config Data'!$D$16)))</f>
        <v>103634567</v>
      </c>
      <c r="J57" s="126" t="s">
        <v>31</v>
      </c>
      <c r="K57" s="126" t="s">
        <v>28</v>
      </c>
      <c r="L57" s="130" t="s">
        <v>343</v>
      </c>
      <c r="M57" s="130" t="s">
        <v>402</v>
      </c>
      <c r="N57" s="129" t="s">
        <v>29</v>
      </c>
      <c r="O57" s="128">
        <f>IF(AND(K57="USD",S57="KHR"),120000,IF(AND(K57="KHR",S57="USD"),30,IF(AND(K57="USD",S57="USD"),1,IF(AND(K57="KHR",S57="KHR"),4000,IF(S57="KHR",'Config Data'!$D$21,IF(S57="USD",'Config Data'!$D$23,""))))))</f>
        <v>30</v>
      </c>
      <c r="P57" s="133" t="s">
        <v>139</v>
      </c>
      <c r="Q57" s="185" t="str">
        <f>IF(P57="ABA Bank",IF(S57="KHR",'Config Data'!$D$49,'Config Data'!$D$48),"")</f>
        <v>004426857</v>
      </c>
      <c r="R57" s="133" t="s">
        <v>193</v>
      </c>
      <c r="S57" s="133" t="s">
        <v>32</v>
      </c>
      <c r="T57" s="130" t="s">
        <v>275</v>
      </c>
      <c r="U57" s="133" t="s">
        <v>260</v>
      </c>
      <c r="V57" s="130" t="s">
        <v>403</v>
      </c>
      <c r="W57" s="130" t="s">
        <v>404</v>
      </c>
      <c r="X57" s="147" t="s">
        <v>278</v>
      </c>
      <c r="Y57" s="130" t="s">
        <v>279</v>
      </c>
      <c r="Z57" s="130" t="s">
        <v>280</v>
      </c>
      <c r="AA57" s="130" t="s">
        <v>281</v>
      </c>
      <c r="AB57" s="130" t="s">
        <v>282</v>
      </c>
      <c r="AC57" s="134" t="str">
        <f>HYPERLINK("Screenshots/Wing to Other Banks (Local Bank via Bakong)/TCRT-0053","View Screenshots")</f>
        <v>View Screenshots</v>
      </c>
      <c r="AD57" s="148"/>
      <c r="AE57" s="136"/>
      <c r="AF57" s="166"/>
    </row>
    <row r="58" ht="59" customHeight="1" spans="1:32">
      <c r="A58" s="119">
        <v>54</v>
      </c>
      <c r="B58" s="120" t="s">
        <v>197</v>
      </c>
      <c r="C58" s="137"/>
      <c r="D58" s="167"/>
      <c r="E58" s="164" t="s">
        <v>190</v>
      </c>
      <c r="F58" s="165" t="s">
        <v>25</v>
      </c>
      <c r="G58" s="164" t="s">
        <v>198</v>
      </c>
      <c r="H58" s="126" t="s">
        <v>26</v>
      </c>
      <c r="I58" s="184" t="str">
        <f>IF(H58="PSP",IF(K58="KHR",'Config Data'!$D$13,'Config Data'!$D$14),IF(H58="FC",IF(K58="KHR",'Config Data'!$D$15,'Config Data'!$D$16)))</f>
        <v>07782083</v>
      </c>
      <c r="J58" s="126" t="s">
        <v>27</v>
      </c>
      <c r="K58" s="126" t="s">
        <v>28</v>
      </c>
      <c r="L58" s="130" t="s">
        <v>343</v>
      </c>
      <c r="M58" s="130" t="s">
        <v>402</v>
      </c>
      <c r="N58" s="129" t="s">
        <v>29</v>
      </c>
      <c r="O58" s="128">
        <f>IF(AND(K58="USD",S58="KHR"),120000,IF(AND(K58="KHR",S58="USD"),30,IF(AND(K58="USD",S58="USD"),1,IF(AND(K58="KHR",S58="KHR"),4000,IF(S58="KHR",'Config Data'!$D$21,IF(S58="USD",'Config Data'!$D$23,""))))))</f>
        <v>30</v>
      </c>
      <c r="P58" s="133" t="s">
        <v>139</v>
      </c>
      <c r="Q58" s="185" t="str">
        <f>IF(P58="ABA Bank",IF(S58="KHR",'Config Data'!$D$49,'Config Data'!$D$48),"")</f>
        <v>004426857</v>
      </c>
      <c r="R58" s="133" t="s">
        <v>193</v>
      </c>
      <c r="S58" s="133" t="s">
        <v>32</v>
      </c>
      <c r="T58" s="130" t="s">
        <v>275</v>
      </c>
      <c r="U58" s="133" t="s">
        <v>260</v>
      </c>
      <c r="V58" s="130" t="s">
        <v>405</v>
      </c>
      <c r="W58" s="130" t="s">
        <v>406</v>
      </c>
      <c r="X58" s="147" t="s">
        <v>278</v>
      </c>
      <c r="Y58" s="130" t="s">
        <v>279</v>
      </c>
      <c r="Z58" s="130" t="s">
        <v>280</v>
      </c>
      <c r="AA58" s="130" t="s">
        <v>281</v>
      </c>
      <c r="AB58" s="130" t="s">
        <v>282</v>
      </c>
      <c r="AC58" s="134" t="str">
        <f>HYPERLINK("Screenshots/Wing to Other Banks (Local Bank via Bakong)/TCRT-0054","View Screenshots")</f>
        <v>View Screenshots</v>
      </c>
      <c r="AD58" s="148"/>
      <c r="AE58" s="136"/>
      <c r="AF58" s="166"/>
    </row>
    <row r="59" ht="59" customHeight="1" spans="1:32">
      <c r="A59" s="119">
        <v>55</v>
      </c>
      <c r="B59" s="120" t="s">
        <v>199</v>
      </c>
      <c r="C59" s="137"/>
      <c r="D59" s="168"/>
      <c r="E59" s="164" t="s">
        <v>190</v>
      </c>
      <c r="F59" s="165" t="s">
        <v>25</v>
      </c>
      <c r="G59" s="164" t="s">
        <v>200</v>
      </c>
      <c r="H59" s="133" t="s">
        <v>26</v>
      </c>
      <c r="I59" s="184" t="str">
        <f>IF(H59="PSP",IF(K59="KHR",'Config Data'!$D$13,'Config Data'!$D$14),IF(H59="FC",IF(K59="KHR",'Config Data'!$D$15,'Config Data'!$D$16)))</f>
        <v>07782087</v>
      </c>
      <c r="J59" s="131" t="s">
        <v>27</v>
      </c>
      <c r="K59" s="133" t="s">
        <v>32</v>
      </c>
      <c r="L59" s="130" t="s">
        <v>351</v>
      </c>
      <c r="M59" s="130" t="s">
        <v>399</v>
      </c>
      <c r="N59" s="129" t="s">
        <v>29</v>
      </c>
      <c r="O59" s="128">
        <f>IF(AND(K59="USD",S59="KHR"),120000,IF(AND(K59="KHR",S59="USD"),30,IF(AND(K59="USD",S59="USD"),1,IF(AND(K59="KHR",S59="KHR"),4000,IF(S59="KHR",'Config Data'!$D$21,IF(S59="USD",'Config Data'!$D$23,""))))))</f>
        <v>120000</v>
      </c>
      <c r="P59" s="126" t="s">
        <v>139</v>
      </c>
      <c r="Q59" s="185" t="str">
        <f>IF(P59="ABA Bank",IF(S59="KHR",'Config Data'!$D$49,'Config Data'!$D$48),"")</f>
        <v>600901105</v>
      </c>
      <c r="R59" s="126" t="s">
        <v>193</v>
      </c>
      <c r="S59" s="126" t="s">
        <v>28</v>
      </c>
      <c r="T59" s="130" t="s">
        <v>287</v>
      </c>
      <c r="U59" s="133" t="s">
        <v>261</v>
      </c>
      <c r="V59" s="130" t="s">
        <v>407</v>
      </c>
      <c r="W59" s="130" t="s">
        <v>408</v>
      </c>
      <c r="X59" s="147" t="s">
        <v>409</v>
      </c>
      <c r="Y59" s="130" t="s">
        <v>279</v>
      </c>
      <c r="Z59" s="130" t="s">
        <v>280</v>
      </c>
      <c r="AA59" s="130" t="s">
        <v>281</v>
      </c>
      <c r="AB59" s="130" t="s">
        <v>282</v>
      </c>
      <c r="AC59" s="134" t="str">
        <f>HYPERLINK("Screenshots/Wing to Other Banks (Local Bank via Bakong)/TCRT-0055","View Screenshots")</f>
        <v>TCRT-0055</v>
      </c>
      <c r="AD59" s="148"/>
      <c r="AE59" s="136"/>
      <c r="AF59" s="166"/>
    </row>
    <row r="60" ht="59" customHeight="1" spans="1:32">
      <c r="A60" s="119">
        <v>56</v>
      </c>
      <c r="B60" s="120" t="s">
        <v>201</v>
      </c>
      <c r="C60" s="137"/>
      <c r="D60" s="163" t="s">
        <v>202</v>
      </c>
      <c r="E60" s="153" t="s">
        <v>203</v>
      </c>
      <c r="F60" s="154" t="s">
        <v>25</v>
      </c>
      <c r="G60" s="155" t="s">
        <v>204</v>
      </c>
      <c r="H60" s="133" t="s">
        <v>30</v>
      </c>
      <c r="I60" s="184" t="str">
        <f>IF(H60="PSP",IF(K60="KHR",'Config Data'!$D$13,'Config Data'!$D$14),IF(H60="FC",IF(K60="KHR",'Config Data'!$D$15,'Config Data'!$D$16)))</f>
        <v>103634533</v>
      </c>
      <c r="J60" s="131" t="s">
        <v>31</v>
      </c>
      <c r="K60" s="133" t="s">
        <v>32</v>
      </c>
      <c r="L60" s="128">
        <f>IF(AND(K60="USD",S60="KHR"),30,IF(AND(K60="KHR",S60="USD"),120000,IF(AND(K60="USD",S60="USD"),2,IF(AND(K60="KHR",S60="KHR"),8000,IF(S60="KHR",'Config Data'!$D$21,IF(S60="USD",'Config Data'!$D$23,""))))))</f>
        <v>2</v>
      </c>
      <c r="M60" s="129" t="s">
        <v>168</v>
      </c>
      <c r="N60" s="129" t="s">
        <v>29</v>
      </c>
      <c r="O60" s="130" t="s">
        <v>410</v>
      </c>
      <c r="P60" s="133" t="s">
        <v>205</v>
      </c>
      <c r="Q60" s="185" t="str">
        <f>IF(P60="Advanced Bank of Asia Ltd",IF(S60="KHR",'Config Data'!$D$49,'Config Data'!$D$48),"")</f>
        <v>004426857</v>
      </c>
      <c r="R60" s="133" t="s">
        <v>206</v>
      </c>
      <c r="S60" s="133" t="s">
        <v>32</v>
      </c>
      <c r="T60" s="130" t="s">
        <v>282</v>
      </c>
      <c r="U60" s="133" t="s">
        <v>60</v>
      </c>
      <c r="V60" s="130" t="s">
        <v>411</v>
      </c>
      <c r="W60" s="130" t="s">
        <v>412</v>
      </c>
      <c r="X60" s="169" t="s">
        <v>409</v>
      </c>
      <c r="Y60" s="130" t="s">
        <v>279</v>
      </c>
      <c r="Z60" s="130" t="s">
        <v>280</v>
      </c>
      <c r="AA60" s="130" t="s">
        <v>281</v>
      </c>
      <c r="AB60" s="130" t="s">
        <v>282</v>
      </c>
      <c r="AC60" s="134" t="str">
        <f>HYPERLINK("Screenshots/Wing to Other Banks (Local Bank via NCS)/TCRT-0056","View Screenshots")</f>
        <v>View Screenshots</v>
      </c>
      <c r="AD60" s="148"/>
      <c r="AE60" s="136"/>
      <c r="AF60" s="129"/>
    </row>
    <row r="61" ht="59" customHeight="1" spans="1:32">
      <c r="A61" s="119">
        <v>57</v>
      </c>
      <c r="B61" s="120" t="s">
        <v>207</v>
      </c>
      <c r="C61" s="137"/>
      <c r="D61" s="168"/>
      <c r="E61" s="153" t="s">
        <v>203</v>
      </c>
      <c r="F61" s="154" t="s">
        <v>25</v>
      </c>
      <c r="G61" s="155" t="s">
        <v>208</v>
      </c>
      <c r="H61" s="126" t="s">
        <v>30</v>
      </c>
      <c r="I61" s="184" t="str">
        <f>IF(H61="PSP",IF(K61="KHR",'Config Data'!$D$13,'Config Data'!$D$14),IF(H61="FC",IF(K61="KHR",'Config Data'!$D$15,'Config Data'!$D$16)))</f>
        <v>103634567</v>
      </c>
      <c r="J61" s="126" t="s">
        <v>31</v>
      </c>
      <c r="K61" s="126" t="s">
        <v>28</v>
      </c>
      <c r="L61" s="128">
        <f>IF(AND(K61="USD",S61="KHR"),30,IF(AND(K61="KHR",S61="USD"),120000,IF(AND(K61="USD",S61="USD"),2,IF(AND(K61="KHR",S61="KHR"),8000,IF(S61="KHR",'Config Data'!$D$21,IF(S61="USD",'Config Data'!$D$23,""))))))</f>
        <v>8000</v>
      </c>
      <c r="M61" s="129" t="s">
        <v>168</v>
      </c>
      <c r="N61" s="129" t="s">
        <v>29</v>
      </c>
      <c r="O61" s="130" t="s">
        <v>413</v>
      </c>
      <c r="P61" s="126" t="s">
        <v>205</v>
      </c>
      <c r="Q61" s="185" t="str">
        <f>IF(P61="Advanced Bank of Asia Ltd",IF(S61="KHR",'Config Data'!$D$49,'Config Data'!$D$48),"")</f>
        <v>600901105</v>
      </c>
      <c r="R61" s="133" t="s">
        <v>206</v>
      </c>
      <c r="S61" s="126" t="s">
        <v>28</v>
      </c>
      <c r="T61" s="130" t="s">
        <v>282</v>
      </c>
      <c r="U61" s="133" t="s">
        <v>60</v>
      </c>
      <c r="V61" s="130" t="s">
        <v>414</v>
      </c>
      <c r="W61" s="130" t="s">
        <v>415</v>
      </c>
      <c r="X61" s="169" t="s">
        <v>409</v>
      </c>
      <c r="Y61" s="130" t="s">
        <v>279</v>
      </c>
      <c r="Z61" s="130" t="s">
        <v>280</v>
      </c>
      <c r="AA61" s="130" t="s">
        <v>281</v>
      </c>
      <c r="AB61" s="130" t="s">
        <v>282</v>
      </c>
      <c r="AC61" s="134" t="str">
        <f>HYPERLINK("Screenshots/Wing to Other Banks (Local Bank via NCS)/TCRT-0057","View Screenshots")</f>
        <v>View Screenshots</v>
      </c>
      <c r="AD61" s="148"/>
      <c r="AE61" s="136"/>
      <c r="AF61" s="129"/>
    </row>
    <row r="62" ht="59" customHeight="1" spans="1:32">
      <c r="A62" s="119">
        <v>58</v>
      </c>
      <c r="B62" s="120" t="s">
        <v>209</v>
      </c>
      <c r="C62" s="137"/>
      <c r="D62" s="163" t="s">
        <v>210</v>
      </c>
      <c r="E62" s="153" t="s">
        <v>211</v>
      </c>
      <c r="F62" s="154" t="s">
        <v>25</v>
      </c>
      <c r="G62" s="155" t="s">
        <v>153</v>
      </c>
      <c r="H62" s="133" t="s">
        <v>30</v>
      </c>
      <c r="I62" s="184" t="str">
        <f>IF(H62="PSP",IF(K62="KHR",'Config Data'!$D$13,'Config Data'!$D$14),IF(H62="FC",IF(K62="KHR",'Config Data'!$D$15,'Config Data'!$D$16)))</f>
        <v>103634533</v>
      </c>
      <c r="J62" s="131" t="s">
        <v>31</v>
      </c>
      <c r="K62" s="133" t="s">
        <v>32</v>
      </c>
      <c r="L62" s="130" t="s">
        <v>346</v>
      </c>
      <c r="M62" s="130" t="s">
        <v>399</v>
      </c>
      <c r="N62" s="129" t="s">
        <v>29</v>
      </c>
      <c r="O62" s="128">
        <f>IF(AND(K62="USD",S62="KHR"),120000,IF(AND(K62="KHR",S62="USD"),30,IF(AND(K62="USD",S62="USD"),1,IF(AND(K62="KHR",S62="KHR"),4000,IF(S62="KHR",'Config Data'!$D$21,IF(S62="USD",'Config Data'!$D$23,""))))))</f>
        <v>120000</v>
      </c>
      <c r="P62" s="126" t="s">
        <v>212</v>
      </c>
      <c r="Q62" s="185" t="str">
        <f>'Config Data'!D$50</f>
        <v>086938457</v>
      </c>
      <c r="R62" s="126" t="s">
        <v>212</v>
      </c>
      <c r="S62" s="126" t="s">
        <v>28</v>
      </c>
      <c r="T62" s="130" t="s">
        <v>287</v>
      </c>
      <c r="U62" s="133" t="s">
        <v>261</v>
      </c>
      <c r="V62" s="130" t="s">
        <v>416</v>
      </c>
      <c r="W62" s="130" t="s">
        <v>417</v>
      </c>
      <c r="X62" s="169" t="s">
        <v>409</v>
      </c>
      <c r="Y62" s="130" t="s">
        <v>279</v>
      </c>
      <c r="Z62" s="130" t="s">
        <v>280</v>
      </c>
      <c r="AA62" s="130" t="s">
        <v>281</v>
      </c>
      <c r="AB62" s="130" t="s">
        <v>282</v>
      </c>
      <c r="AC62" s="134" t="str">
        <f>HYPERLINK("Screenshots/Wing to Other Banks (Bakong Wallet)/TCRT-0058","View Screenshots")</f>
        <v>View Screenshots</v>
      </c>
      <c r="AD62" s="148"/>
      <c r="AE62" s="136"/>
      <c r="AF62" s="129"/>
    </row>
    <row r="63" ht="59" customHeight="1" spans="1:32">
      <c r="A63" s="119">
        <v>59</v>
      </c>
      <c r="B63" s="120" t="s">
        <v>213</v>
      </c>
      <c r="C63" s="137"/>
      <c r="D63" s="167"/>
      <c r="E63" s="153" t="s">
        <v>211</v>
      </c>
      <c r="F63" s="154" t="s">
        <v>25</v>
      </c>
      <c r="G63" s="155" t="s">
        <v>214</v>
      </c>
      <c r="H63" s="126" t="s">
        <v>30</v>
      </c>
      <c r="I63" s="184" t="str">
        <f>IF(H63="PSP",IF(K63="KHR",'Config Data'!$D$13,'Config Data'!$D$14),IF(H63="FC",IF(K63="KHR",'Config Data'!$D$15,'Config Data'!$D$16)))</f>
        <v>103634567</v>
      </c>
      <c r="J63" s="126" t="s">
        <v>31</v>
      </c>
      <c r="K63" s="126" t="s">
        <v>28</v>
      </c>
      <c r="L63" s="130" t="s">
        <v>303</v>
      </c>
      <c r="M63" s="130" t="s">
        <v>418</v>
      </c>
      <c r="N63" s="129" t="s">
        <v>29</v>
      </c>
      <c r="O63" s="128">
        <f>IF(AND(K63="USD",S63="KHR"),120000,IF(AND(K63="KHR",S63="USD"),30,IF(AND(K63="USD",S63="USD"),1,IF(AND(K63="KHR",S63="KHR"),4000,IF(S63="KHR",'Config Data'!$D$21,IF(S63="USD",'Config Data'!$D$23,""))))))</f>
        <v>4000</v>
      </c>
      <c r="P63" s="126" t="s">
        <v>212</v>
      </c>
      <c r="Q63" s="185" t="str">
        <f>'Config Data'!D$50</f>
        <v>086938457</v>
      </c>
      <c r="R63" s="126" t="s">
        <v>212</v>
      </c>
      <c r="S63" s="126" t="s">
        <v>28</v>
      </c>
      <c r="T63" s="130" t="s">
        <v>282</v>
      </c>
      <c r="U63" s="133" t="s">
        <v>60</v>
      </c>
      <c r="V63" s="130" t="s">
        <v>419</v>
      </c>
      <c r="W63" s="130" t="s">
        <v>420</v>
      </c>
      <c r="X63" s="169" t="s">
        <v>409</v>
      </c>
      <c r="Y63" s="130" t="s">
        <v>279</v>
      </c>
      <c r="Z63" s="130" t="s">
        <v>280</v>
      </c>
      <c r="AA63" s="130" t="s">
        <v>281</v>
      </c>
      <c r="AB63" s="130" t="s">
        <v>282</v>
      </c>
      <c r="AC63" s="134" t="str">
        <f>HYPERLINK("Screenshots/Wing to Other Banks (Bakong Wallet)/TCRT-0059","View Screenshots")</f>
        <v>View Screenshots</v>
      </c>
      <c r="AD63" s="148"/>
      <c r="AE63" s="136"/>
      <c r="AF63" s="129"/>
    </row>
    <row r="64" ht="59" customHeight="1" spans="1:32">
      <c r="A64" s="119">
        <v>60</v>
      </c>
      <c r="B64" s="120" t="s">
        <v>216</v>
      </c>
      <c r="C64" s="137"/>
      <c r="D64" s="167"/>
      <c r="E64" s="153" t="s">
        <v>211</v>
      </c>
      <c r="F64" s="154" t="s">
        <v>25</v>
      </c>
      <c r="G64" s="155" t="s">
        <v>217</v>
      </c>
      <c r="H64" s="133" t="s">
        <v>26</v>
      </c>
      <c r="I64" s="184" t="str">
        <f>IF(H64="PSP",IF(K64="KHR",'Config Data'!$D$13,'Config Data'!$D$14),IF(H64="FC",IF(K64="KHR",'Config Data'!$D$15,'Config Data'!$D$16)))</f>
        <v>07782087</v>
      </c>
      <c r="J64" s="131" t="s">
        <v>27</v>
      </c>
      <c r="K64" s="133" t="s">
        <v>32</v>
      </c>
      <c r="L64" s="130" t="s">
        <v>300</v>
      </c>
      <c r="M64" s="130" t="s">
        <v>421</v>
      </c>
      <c r="N64" s="129" t="s">
        <v>29</v>
      </c>
      <c r="O64" s="128">
        <f>IF(AND(K64="USD",S64="KHR"),120000,IF(AND(K64="KHR",S64="USD"),30,IF(AND(K64="USD",S64="USD"),1,IF(AND(K64="KHR",S64="KHR"),4000,IF(S64="KHR",'Config Data'!$D$21,IF(S64="USD",'Config Data'!$D$23,""))))))</f>
        <v>1</v>
      </c>
      <c r="P64" s="133" t="s">
        <v>219</v>
      </c>
      <c r="Q64" s="185" t="str">
        <f>'Config Data'!D$50</f>
        <v>086938457</v>
      </c>
      <c r="R64" s="133" t="s">
        <v>219</v>
      </c>
      <c r="S64" s="133" t="s">
        <v>32</v>
      </c>
      <c r="T64" s="130" t="s">
        <v>282</v>
      </c>
      <c r="U64" s="133" t="s">
        <v>60</v>
      </c>
      <c r="V64" s="130" t="s">
        <v>422</v>
      </c>
      <c r="W64" s="130" t="s">
        <v>423</v>
      </c>
      <c r="X64" s="169" t="s">
        <v>409</v>
      </c>
      <c r="Y64" s="130" t="s">
        <v>279</v>
      </c>
      <c r="Z64" s="130" t="s">
        <v>280</v>
      </c>
      <c r="AA64" s="130" t="s">
        <v>281</v>
      </c>
      <c r="AB64" s="130" t="s">
        <v>282</v>
      </c>
      <c r="AC64" s="134" t="str">
        <f>HYPERLINK("Screenshots/Wing to Other Banks (Bakong Wallet)/TCRT-0060","View Screenshots")</f>
        <v>View Screenshots</v>
      </c>
      <c r="AD64" s="148"/>
      <c r="AE64" s="136"/>
      <c r="AF64" s="129"/>
    </row>
    <row r="65" ht="59" customHeight="1" spans="1:32">
      <c r="A65" s="119">
        <v>61</v>
      </c>
      <c r="B65" s="120" t="s">
        <v>220</v>
      </c>
      <c r="C65" s="137"/>
      <c r="D65" s="168"/>
      <c r="E65" s="153" t="s">
        <v>211</v>
      </c>
      <c r="F65" s="154" t="s">
        <v>25</v>
      </c>
      <c r="G65" s="155" t="s">
        <v>221</v>
      </c>
      <c r="H65" s="126" t="s">
        <v>26</v>
      </c>
      <c r="I65" s="184" t="str">
        <f>IF(H65="PSP",IF(K65="KHR",'Config Data'!$D$13,'Config Data'!$D$14),IF(H65="FC",IF(K65="KHR",'Config Data'!$D$15,'Config Data'!$D$16)))</f>
        <v>07782083</v>
      </c>
      <c r="J65" s="126" t="s">
        <v>27</v>
      </c>
      <c r="K65" s="126" t="s">
        <v>28</v>
      </c>
      <c r="L65" s="130" t="s">
        <v>343</v>
      </c>
      <c r="M65" s="130" t="s">
        <v>402</v>
      </c>
      <c r="N65" s="129" t="s">
        <v>29</v>
      </c>
      <c r="O65" s="128">
        <f>IF(AND(K65="USD",S65="KHR"),120000,IF(AND(K65="KHR",S65="USD"),30,IF(AND(K65="USD",S65="USD"),1,IF(AND(K65="KHR",S65="KHR"),4000,IF(S65="KHR",'Config Data'!$D$21,IF(S65="USD",'Config Data'!$D$23,""))))))</f>
        <v>30</v>
      </c>
      <c r="P65" s="133" t="s">
        <v>219</v>
      </c>
      <c r="Q65" s="185" t="str">
        <f>'Config Data'!D$50</f>
        <v>086938457</v>
      </c>
      <c r="R65" s="133" t="s">
        <v>219</v>
      </c>
      <c r="S65" s="133" t="s">
        <v>32</v>
      </c>
      <c r="T65" s="130" t="s">
        <v>275</v>
      </c>
      <c r="U65" s="133" t="s">
        <v>260</v>
      </c>
      <c r="V65" s="130" t="s">
        <v>424</v>
      </c>
      <c r="W65" s="130" t="s">
        <v>425</v>
      </c>
      <c r="X65" s="169" t="s">
        <v>409</v>
      </c>
      <c r="Y65" s="130" t="s">
        <v>279</v>
      </c>
      <c r="Z65" s="130" t="s">
        <v>280</v>
      </c>
      <c r="AA65" s="130" t="s">
        <v>281</v>
      </c>
      <c r="AB65" s="130" t="s">
        <v>282</v>
      </c>
      <c r="AC65" s="134" t="str">
        <f>HYPERLINK("Screenshots/Wing to Other Banks (Bakong Wallet)/TCRT-0061","View Screenshots")</f>
        <v>View Screenshots</v>
      </c>
      <c r="AD65" s="148"/>
      <c r="AE65" s="136"/>
      <c r="AF65" s="129"/>
    </row>
    <row r="66" ht="59" customHeight="1" spans="1:32">
      <c r="A66" s="119">
        <v>62</v>
      </c>
      <c r="B66" s="120" t="s">
        <v>222</v>
      </c>
      <c r="C66" s="137"/>
      <c r="D66" s="163" t="s">
        <v>223</v>
      </c>
      <c r="E66" s="153" t="s">
        <v>224</v>
      </c>
      <c r="F66" s="154" t="s">
        <v>25</v>
      </c>
      <c r="G66" s="155" t="s">
        <v>225</v>
      </c>
      <c r="H66" s="133" t="s">
        <v>30</v>
      </c>
      <c r="I66" s="184" t="str">
        <f>IF(H66="PSP",IF(K66="KHR",'Config Data'!$D$13,'Config Data'!$D$14),IF(H66="FC",IF(K66="KHR",'Config Data'!$D$15,'Config Data'!$D$16)))</f>
        <v>103634533</v>
      </c>
      <c r="J66" s="131" t="s">
        <v>31</v>
      </c>
      <c r="K66" s="133" t="s">
        <v>32</v>
      </c>
      <c r="L66" s="130" t="s">
        <v>346</v>
      </c>
      <c r="M66" s="130" t="s">
        <v>399</v>
      </c>
      <c r="N66" s="129" t="s">
        <v>29</v>
      </c>
      <c r="O66" s="128">
        <f>IF(AND(K66="USD",S66="KHR"),120000,IF(AND(K66="KHR",S66="USD"),30,IF(AND(K66="USD",S66="USD"),2,IF(AND(K66="KHR",S66="KHR"),8000,IF(S66="KHR",'Config Data'!$D$21,IF(S66="USD",'Config Data'!$D$23,""))))))</f>
        <v>120000</v>
      </c>
      <c r="P66" s="126" t="s">
        <v>227</v>
      </c>
      <c r="Q66" s="185" t="str">
        <f>IF(P66="ABA",IF(S66="KHR",'Config Data'!$D$49,'Config Data'!$D$48),"")</f>
        <v>600901105</v>
      </c>
      <c r="R66" s="126" t="s">
        <v>227</v>
      </c>
      <c r="S66" s="126" t="s">
        <v>28</v>
      </c>
      <c r="T66" s="130" t="s">
        <v>287</v>
      </c>
      <c r="U66" s="133" t="s">
        <v>261</v>
      </c>
      <c r="V66" s="130" t="s">
        <v>426</v>
      </c>
      <c r="W66" s="130" t="s">
        <v>427</v>
      </c>
      <c r="X66" s="169" t="s">
        <v>278</v>
      </c>
      <c r="Y66" s="130" t="s">
        <v>279</v>
      </c>
      <c r="Z66" s="130" t="s">
        <v>280</v>
      </c>
      <c r="AA66" s="130" t="s">
        <v>281</v>
      </c>
      <c r="AB66" s="130" t="s">
        <v>282</v>
      </c>
      <c r="AC66" s="134" t="str">
        <f>HYPERLINK("Screenshots/Wing to Other Banks (Direct Bank)/TCRT-0062","View Screenshots")</f>
        <v>View Screenshots</v>
      </c>
      <c r="AD66" s="148"/>
      <c r="AE66" s="136"/>
      <c r="AF66" s="129"/>
    </row>
    <row r="67" ht="59" customHeight="1" spans="1:32">
      <c r="A67" s="119">
        <v>63</v>
      </c>
      <c r="B67" s="120" t="s">
        <v>228</v>
      </c>
      <c r="C67" s="137"/>
      <c r="D67" s="167"/>
      <c r="E67" s="153" t="s">
        <v>224</v>
      </c>
      <c r="F67" s="154" t="s">
        <v>25</v>
      </c>
      <c r="G67" s="155" t="s">
        <v>229</v>
      </c>
      <c r="H67" s="126" t="s">
        <v>30</v>
      </c>
      <c r="I67" s="184" t="str">
        <f>IF(H67="PSP",IF(K67="KHR",'Config Data'!$D$13,'Config Data'!$D$14),IF(H67="FC",IF(K67="KHR",'Config Data'!$D$15,'Config Data'!$D$16)))</f>
        <v>103634567</v>
      </c>
      <c r="J67" s="126" t="s">
        <v>31</v>
      </c>
      <c r="K67" s="126" t="s">
        <v>28</v>
      </c>
      <c r="L67" s="130" t="s">
        <v>413</v>
      </c>
      <c r="M67" s="130" t="s">
        <v>399</v>
      </c>
      <c r="N67" s="129" t="s">
        <v>29</v>
      </c>
      <c r="O67" s="128">
        <f>IF(AND(K67="USD",S67="KHR"),120000,IF(AND(K67="KHR",S67="USD"),30,IF(AND(K67="USD",S67="USD"),2,IF(AND(K67="KHR",S67="KHR"),8000,IF(S67="KHR",'Config Data'!$D$21,IF(S67="USD",'Config Data'!$D$23,""))))))</f>
        <v>8000</v>
      </c>
      <c r="P67" s="126" t="s">
        <v>227</v>
      </c>
      <c r="Q67" s="185" t="str">
        <f>IF(P67="ABA",IF(S67="KHR",'Config Data'!$D$49,'Config Data'!$D$48),"")</f>
        <v>600901105</v>
      </c>
      <c r="R67" s="126" t="s">
        <v>227</v>
      </c>
      <c r="S67" s="126" t="s">
        <v>28</v>
      </c>
      <c r="T67" s="130" t="s">
        <v>282</v>
      </c>
      <c r="U67" s="133" t="s">
        <v>60</v>
      </c>
      <c r="V67" s="130" t="s">
        <v>428</v>
      </c>
      <c r="W67" s="130" t="s">
        <v>429</v>
      </c>
      <c r="X67" s="169" t="s">
        <v>409</v>
      </c>
      <c r="Y67" s="130" t="s">
        <v>279</v>
      </c>
      <c r="Z67" s="130" t="s">
        <v>280</v>
      </c>
      <c r="AA67" s="130" t="s">
        <v>281</v>
      </c>
      <c r="AB67" s="130" t="s">
        <v>282</v>
      </c>
      <c r="AC67" s="134" t="str">
        <f>HYPERLINK("Screenshots/Wing to Other Banks (Direct Bank)/TCRT-0063","View Screenshots")</f>
        <v>View Screenshots</v>
      </c>
      <c r="AD67" s="148"/>
      <c r="AE67" s="136"/>
      <c r="AF67" s="129"/>
    </row>
    <row r="68" ht="59" customHeight="1" spans="1:32">
      <c r="A68" s="119">
        <v>64</v>
      </c>
      <c r="B68" s="120" t="s">
        <v>230</v>
      </c>
      <c r="C68" s="137"/>
      <c r="D68" s="167"/>
      <c r="E68" s="153" t="s">
        <v>224</v>
      </c>
      <c r="F68" s="154" t="s">
        <v>25</v>
      </c>
      <c r="G68" s="155" t="s">
        <v>231</v>
      </c>
      <c r="H68" s="133" t="s">
        <v>26</v>
      </c>
      <c r="I68" s="184" t="str">
        <f>IF(H68="PSP",IF(K68="KHR",'Config Data'!$D$13,'Config Data'!$D$14),IF(H68="FC",IF(K68="KHR",'Config Data'!$D$15,'Config Data'!$D$16)))</f>
        <v>07782087</v>
      </c>
      <c r="J68" s="131" t="s">
        <v>27</v>
      </c>
      <c r="K68" s="133" t="s">
        <v>32</v>
      </c>
      <c r="L68" s="130" t="s">
        <v>410</v>
      </c>
      <c r="M68" s="130" t="s">
        <v>402</v>
      </c>
      <c r="N68" s="129" t="s">
        <v>29</v>
      </c>
      <c r="O68" s="128">
        <f>IF(AND(K68="USD",S68="KHR"),120000,IF(AND(K68="KHR",S68="USD"),30,IF(AND(K68="USD",S68="USD"),2,IF(AND(K68="KHR",S68="KHR"),8000,IF(S68="KHR",'Config Data'!$D$21,IF(S68="USD",'Config Data'!$D$23,""))))))</f>
        <v>2</v>
      </c>
      <c r="P68" s="133" t="s">
        <v>227</v>
      </c>
      <c r="Q68" s="185" t="str">
        <f>IF(P68="ABA",IF(S68="KHR",'Config Data'!$D$49,'Config Data'!$D$48),"")</f>
        <v>004426857</v>
      </c>
      <c r="R68" s="133" t="s">
        <v>227</v>
      </c>
      <c r="S68" s="133" t="s">
        <v>32</v>
      </c>
      <c r="T68" s="130" t="s">
        <v>282</v>
      </c>
      <c r="U68" s="133" t="s">
        <v>60</v>
      </c>
      <c r="V68" s="130" t="s">
        <v>430</v>
      </c>
      <c r="W68" s="130" t="s">
        <v>431</v>
      </c>
      <c r="X68" s="169" t="s">
        <v>409</v>
      </c>
      <c r="Y68" s="130" t="s">
        <v>279</v>
      </c>
      <c r="Z68" s="130" t="s">
        <v>280</v>
      </c>
      <c r="AA68" s="130" t="s">
        <v>281</v>
      </c>
      <c r="AB68" s="130" t="s">
        <v>282</v>
      </c>
      <c r="AC68" s="134" t="str">
        <f>HYPERLINK("Screenshots/Wing to Other Banks (Direct Bank)/TCRT-0064","View Screenshots")</f>
        <v>View Screenshots</v>
      </c>
      <c r="AD68" s="148"/>
      <c r="AE68" s="136"/>
      <c r="AF68" s="129"/>
    </row>
    <row r="69" ht="59" customHeight="1" spans="1:32">
      <c r="A69" s="119">
        <v>65</v>
      </c>
      <c r="B69" s="120" t="s">
        <v>233</v>
      </c>
      <c r="C69" s="137"/>
      <c r="D69" s="168"/>
      <c r="E69" s="153" t="s">
        <v>224</v>
      </c>
      <c r="F69" s="154" t="s">
        <v>25</v>
      </c>
      <c r="G69" s="155" t="s">
        <v>234</v>
      </c>
      <c r="H69" s="126" t="s">
        <v>26</v>
      </c>
      <c r="I69" s="184" t="str">
        <f>IF(H69="PSP",IF(K69="KHR",'Config Data'!$D$13,'Config Data'!$D$14),IF(H69="FC",IF(K69="KHR",'Config Data'!$D$15,'Config Data'!$D$16)))</f>
        <v>07782083</v>
      </c>
      <c r="J69" s="126" t="s">
        <v>27</v>
      </c>
      <c r="K69" s="126" t="s">
        <v>28</v>
      </c>
      <c r="L69" s="130" t="s">
        <v>343</v>
      </c>
      <c r="M69" s="130" t="s">
        <v>402</v>
      </c>
      <c r="N69" s="129" t="s">
        <v>29</v>
      </c>
      <c r="O69" s="128">
        <f>IF(AND(K69="USD",S69="KHR"),120000,IF(AND(K69="KHR",S69="USD"),30,IF(AND(K69="USD",S69="USD"),2,IF(AND(K69="KHR",S69="KHR"),8000,IF(S69="KHR",'Config Data'!$D$21,IF(S69="USD",'Config Data'!$D$23,""))))))</f>
        <v>30</v>
      </c>
      <c r="P69" s="133" t="s">
        <v>227</v>
      </c>
      <c r="Q69" s="185" t="str">
        <f>IF(P69="ABA",IF(S69="KHR",'Config Data'!$D$49,'Config Data'!$D$48),"")</f>
        <v>004426857</v>
      </c>
      <c r="R69" s="133" t="s">
        <v>227</v>
      </c>
      <c r="S69" s="133" t="s">
        <v>32</v>
      </c>
      <c r="T69" s="130" t="s">
        <v>275</v>
      </c>
      <c r="U69" s="133" t="s">
        <v>260</v>
      </c>
      <c r="V69" s="130" t="s">
        <v>432</v>
      </c>
      <c r="W69" s="130" t="s">
        <v>433</v>
      </c>
      <c r="X69" s="169" t="s">
        <v>278</v>
      </c>
      <c r="Y69" s="130" t="s">
        <v>279</v>
      </c>
      <c r="Z69" s="130" t="s">
        <v>280</v>
      </c>
      <c r="AA69" s="130" t="s">
        <v>281</v>
      </c>
      <c r="AB69" s="130" t="s">
        <v>282</v>
      </c>
      <c r="AC69" s="134" t="str">
        <f>HYPERLINK("Screenshots/Wing to Other Banks (Direct Bank)/TCRT-0065","View Screenshots")</f>
        <v>View Screenshots</v>
      </c>
      <c r="AD69" s="148"/>
      <c r="AE69" s="136"/>
      <c r="AF69" s="129"/>
    </row>
    <row r="70" ht="59" customHeight="1" spans="1:32">
      <c r="A70" s="119">
        <v>66</v>
      </c>
      <c r="B70" s="120" t="s">
        <v>235</v>
      </c>
      <c r="C70" s="137"/>
      <c r="D70" s="163" t="s">
        <v>236</v>
      </c>
      <c r="E70" s="170" t="s">
        <v>237</v>
      </c>
      <c r="F70" s="154" t="s">
        <v>25</v>
      </c>
      <c r="G70" s="155" t="s">
        <v>238</v>
      </c>
      <c r="H70" s="133" t="s">
        <v>30</v>
      </c>
      <c r="I70" s="184" t="str">
        <f>IF(H70="PSP",IF(K70="KHR",'Config Data'!$D$13,'Config Data'!$D$14),IF(H70="FC",IF(K70="KHR",'Config Data'!$D$15,'Config Data'!$D$16)))</f>
        <v>103634533</v>
      </c>
      <c r="J70" s="131" t="s">
        <v>31</v>
      </c>
      <c r="K70" s="133" t="s">
        <v>32</v>
      </c>
      <c r="L70" s="130" t="s">
        <v>386</v>
      </c>
      <c r="M70" s="129" t="s">
        <v>239</v>
      </c>
      <c r="N70" s="129" t="s">
        <v>29</v>
      </c>
      <c r="O70" s="128">
        <f>IF(AND(K70="USD",S70="KHR"),120000,IF(AND(K70="KHR",S70="USD"),30,IF(AND(K70="USD",S70="USD"),5,IF(AND(K70="KHR",S70="KHR"),20000,IF(S70="KHR",'Config Data'!$D$21,IF(S70="USD",'Config Data'!$D$23,""))))))</f>
        <v>5</v>
      </c>
      <c r="P70" s="133" t="s">
        <v>110</v>
      </c>
      <c r="Q70" s="132">
        <v>533129</v>
      </c>
      <c r="R70" s="133" t="s">
        <v>240</v>
      </c>
      <c r="S70" s="133" t="s">
        <v>32</v>
      </c>
      <c r="T70" s="130" t="s">
        <v>282</v>
      </c>
      <c r="U70" s="133" t="s">
        <v>60</v>
      </c>
      <c r="V70" s="130" t="s">
        <v>434</v>
      </c>
      <c r="W70" s="130" t="s">
        <v>435</v>
      </c>
      <c r="X70" s="169" t="s">
        <v>409</v>
      </c>
      <c r="Y70" s="130" t="s">
        <v>279</v>
      </c>
      <c r="Z70" s="130" t="s">
        <v>280</v>
      </c>
      <c r="AA70" s="130" t="s">
        <v>281</v>
      </c>
      <c r="AB70" s="130" t="s">
        <v>282</v>
      </c>
      <c r="AC70" s="134" t="str">
        <f>HYPERLINK("Screenshots/Cash Out Manual/TCRT-0066","View Screenshots")</f>
        <v>View Screenshots</v>
      </c>
      <c r="AD70" s="171"/>
      <c r="AE70" s="136"/>
      <c r="AF70" s="129"/>
    </row>
    <row r="71" ht="59" customHeight="1" spans="1:32">
      <c r="A71" s="119">
        <v>67</v>
      </c>
      <c r="B71" s="120" t="s">
        <v>241</v>
      </c>
      <c r="C71" s="137"/>
      <c r="D71" s="167"/>
      <c r="E71" s="170" t="s">
        <v>237</v>
      </c>
      <c r="F71" s="154" t="s">
        <v>25</v>
      </c>
      <c r="G71" s="155" t="s">
        <v>242</v>
      </c>
      <c r="H71" s="126" t="s">
        <v>30</v>
      </c>
      <c r="I71" s="184" t="str">
        <f>IF(H71="PSP",IF(K71="KHR",'Config Data'!$D$13,'Config Data'!$D$14),IF(H71="FC",IF(K71="KHR",'Config Data'!$D$15,'Config Data'!$D$16)))</f>
        <v>103634567</v>
      </c>
      <c r="J71" s="126" t="s">
        <v>31</v>
      </c>
      <c r="K71" s="126" t="s">
        <v>28</v>
      </c>
      <c r="L71" s="130" t="s">
        <v>390</v>
      </c>
      <c r="M71" s="129" t="s">
        <v>243</v>
      </c>
      <c r="N71" s="129" t="s">
        <v>29</v>
      </c>
      <c r="O71" s="128">
        <f>IF(AND(K71="USD",S71="KHR"),120000,IF(AND(K71="KHR",S71="USD"),30,IF(AND(K71="USD",S71="USD"),5,IF(AND(K71="KHR",S71="KHR"),20000,IF(S71="KHR",'Config Data'!$D$21,IF(S71="USD",'Config Data'!$D$23,""))))))</f>
        <v>20000</v>
      </c>
      <c r="P71" s="126" t="s">
        <v>110</v>
      </c>
      <c r="Q71" s="132">
        <v>533130</v>
      </c>
      <c r="R71" s="126" t="s">
        <v>240</v>
      </c>
      <c r="S71" s="126" t="s">
        <v>28</v>
      </c>
      <c r="T71" s="130" t="s">
        <v>282</v>
      </c>
      <c r="U71" s="133" t="s">
        <v>60</v>
      </c>
      <c r="V71" s="130" t="s">
        <v>436</v>
      </c>
      <c r="W71" s="130" t="s">
        <v>437</v>
      </c>
      <c r="X71" s="169" t="s">
        <v>409</v>
      </c>
      <c r="Y71" s="130" t="s">
        <v>279</v>
      </c>
      <c r="Z71" s="130" t="s">
        <v>280</v>
      </c>
      <c r="AA71" s="130" t="s">
        <v>281</v>
      </c>
      <c r="AB71" s="130" t="s">
        <v>282</v>
      </c>
      <c r="AC71" s="134" t="str">
        <f>HYPERLINK("Screenshots/Cash Out Manual/TCRT-0067","View Screenshots")</f>
        <v>View Screenshots</v>
      </c>
      <c r="AD71" s="171"/>
      <c r="AE71" s="136"/>
      <c r="AF71" s="129"/>
    </row>
    <row r="72" ht="59" customHeight="1" spans="1:32">
      <c r="A72" s="119">
        <v>68</v>
      </c>
      <c r="B72" s="120" t="s">
        <v>244</v>
      </c>
      <c r="C72" s="137"/>
      <c r="D72" s="167"/>
      <c r="E72" s="170" t="s">
        <v>237</v>
      </c>
      <c r="F72" s="154" t="s">
        <v>25</v>
      </c>
      <c r="G72" s="155" t="s">
        <v>245</v>
      </c>
      <c r="H72" s="133" t="s">
        <v>26</v>
      </c>
      <c r="I72" s="184" t="str">
        <f>IF(H72="PSP",IF(K72="KHR",'Config Data'!$D$13,'Config Data'!$D$14),IF(H72="FC",IF(K72="KHR",'Config Data'!$D$15,'Config Data'!$D$16)))</f>
        <v>07782087</v>
      </c>
      <c r="J72" s="131" t="s">
        <v>27</v>
      </c>
      <c r="K72" s="133" t="s">
        <v>32</v>
      </c>
      <c r="L72" s="130" t="s">
        <v>351</v>
      </c>
      <c r="M72" s="129" t="s">
        <v>246</v>
      </c>
      <c r="N72" s="129" t="s">
        <v>29</v>
      </c>
      <c r="O72" s="128">
        <f>IF(AND(K72="USD",S72="KHR"),120000,IF(AND(K72="KHR",S72="USD"),30,IF(AND(K72="USD",S72="USD"),5,IF(AND(K72="KHR",S72="KHR"),20000,IF(S72="KHR",'Config Data'!$D$21,IF(S72="USD",'Config Data'!$D$23,""))))))</f>
        <v>120000</v>
      </c>
      <c r="P72" s="126" t="s">
        <v>110</v>
      </c>
      <c r="Q72" s="132">
        <v>533130</v>
      </c>
      <c r="R72" s="126" t="s">
        <v>240</v>
      </c>
      <c r="S72" s="126" t="s">
        <v>28</v>
      </c>
      <c r="T72" s="130" t="s">
        <v>282</v>
      </c>
      <c r="U72" s="133" t="s">
        <v>261</v>
      </c>
      <c r="V72" s="130" t="s">
        <v>438</v>
      </c>
      <c r="W72" s="130" t="s">
        <v>439</v>
      </c>
      <c r="X72" s="169" t="s">
        <v>278</v>
      </c>
      <c r="Y72" s="130" t="s">
        <v>279</v>
      </c>
      <c r="Z72" s="130" t="s">
        <v>280</v>
      </c>
      <c r="AA72" s="130" t="s">
        <v>281</v>
      </c>
      <c r="AB72" s="130" t="s">
        <v>282</v>
      </c>
      <c r="AC72" s="134" t="str">
        <f>HYPERLINK("Screenshots/Cash Out Manual/TCRT-0068","View Screenshots")</f>
        <v>TCRT-0068</v>
      </c>
      <c r="AD72" s="171"/>
      <c r="AE72" s="136"/>
      <c r="AF72" s="129"/>
    </row>
    <row r="73" ht="59" customHeight="1" spans="1:32">
      <c r="A73" s="119">
        <v>69</v>
      </c>
      <c r="B73" s="120" t="s">
        <v>247</v>
      </c>
      <c r="C73" s="137"/>
      <c r="D73" s="168"/>
      <c r="E73" s="170" t="s">
        <v>237</v>
      </c>
      <c r="F73" s="154" t="s">
        <v>25</v>
      </c>
      <c r="G73" s="155" t="s">
        <v>248</v>
      </c>
      <c r="H73" s="126" t="s">
        <v>26</v>
      </c>
      <c r="I73" s="184" t="str">
        <f>IF(H73="PSP",IF(K73="KHR",'Config Data'!$D$13,'Config Data'!$D$14),IF(H73="FC",IF(K73="KHR",'Config Data'!$D$15,'Config Data'!$D$16)))</f>
        <v>07782083</v>
      </c>
      <c r="J73" s="126" t="s">
        <v>27</v>
      </c>
      <c r="K73" s="126" t="s">
        <v>28</v>
      </c>
      <c r="L73" s="130" t="s">
        <v>343</v>
      </c>
      <c r="M73" s="129" t="s">
        <v>246</v>
      </c>
      <c r="N73" s="129" t="s">
        <v>29</v>
      </c>
      <c r="O73" s="128">
        <f>IF(AND(K73="USD",S73="KHR"),120000,IF(AND(K73="KHR",S73="USD"),30,IF(AND(K73="USD",S73="USD"),5,IF(AND(K73="KHR",S73="KHR"),20000,IF(S73="KHR",'Config Data'!$D$21,IF(S73="USD",'Config Data'!$D$23,""))))))</f>
        <v>30</v>
      </c>
      <c r="P73" s="133" t="s">
        <v>110</v>
      </c>
      <c r="Q73" s="132">
        <v>533129</v>
      </c>
      <c r="R73" s="133" t="s">
        <v>240</v>
      </c>
      <c r="S73" s="133" t="s">
        <v>32</v>
      </c>
      <c r="T73" s="130" t="s">
        <v>282</v>
      </c>
      <c r="U73" s="133" t="s">
        <v>260</v>
      </c>
      <c r="V73" s="130" t="s">
        <v>440</v>
      </c>
      <c r="W73" s="130" t="s">
        <v>441</v>
      </c>
      <c r="X73" s="169" t="s">
        <v>278</v>
      </c>
      <c r="Y73" s="130" t="s">
        <v>279</v>
      </c>
      <c r="Z73" s="130" t="s">
        <v>280</v>
      </c>
      <c r="AA73" s="130" t="s">
        <v>281</v>
      </c>
      <c r="AB73" s="130" t="s">
        <v>282</v>
      </c>
      <c r="AC73" s="134" t="str">
        <f>HYPERLINK("Screenshots/Cash Out Manual/TCRT-0069","View Screenshots")</f>
        <v>View Screenshots</v>
      </c>
      <c r="AD73" s="171"/>
      <c r="AE73" s="136"/>
      <c r="AF73" s="129"/>
    </row>
    <row r="74" ht="59" customHeight="1" spans="1:32">
      <c r="A74" s="119">
        <v>70</v>
      </c>
      <c r="B74" s="120" t="s">
        <v>249</v>
      </c>
      <c r="C74" s="137"/>
      <c r="D74" s="163" t="s">
        <v>250</v>
      </c>
      <c r="E74" s="153" t="s">
        <v>251</v>
      </c>
      <c r="F74" s="154" t="s">
        <v>25</v>
      </c>
      <c r="G74" s="172" t="s">
        <v>252</v>
      </c>
      <c r="H74" s="133" t="s">
        <v>30</v>
      </c>
      <c r="I74" s="184" t="str">
        <f>IF(H74="PSP",IF(K74="KHR",'Config Data'!$D$13,'Config Data'!$D$14),IF(H74="FC",IF(K74="KHR",'Config Data'!$D$15,'Config Data'!$D$16)))</f>
        <v>103634533</v>
      </c>
      <c r="J74" s="131" t="s">
        <v>31</v>
      </c>
      <c r="K74" s="133" t="s">
        <v>32</v>
      </c>
      <c r="L74" s="130" t="s">
        <v>346</v>
      </c>
      <c r="M74" s="129" t="s">
        <v>29</v>
      </c>
      <c r="N74" s="129" t="s">
        <v>29</v>
      </c>
      <c r="O74" s="128">
        <f>IF(AND(K74="USD",S74="KHR"),120000,IF(AND(K74="KHR",S74="USD"),30,IF(AND(K74="USD",S74="USD"),1,IF(AND(K74="KHR",S74="KHR"),4000,IF(S74="KHR",'Config Data'!$D$21,IF(S74="USD",'Config Data'!$D$23,""))))))</f>
        <v>120000</v>
      </c>
      <c r="P74" s="126" t="s">
        <v>154</v>
      </c>
      <c r="Q74" s="132" t="s">
        <v>442</v>
      </c>
      <c r="R74" s="126" t="s">
        <v>253</v>
      </c>
      <c r="S74" s="126" t="s">
        <v>28</v>
      </c>
      <c r="T74" s="130" t="s">
        <v>282</v>
      </c>
      <c r="U74" s="133" t="s">
        <v>261</v>
      </c>
      <c r="V74" s="130" t="s">
        <v>443</v>
      </c>
      <c r="W74" s="130" t="s">
        <v>444</v>
      </c>
      <c r="X74" s="169" t="s">
        <v>409</v>
      </c>
      <c r="Y74" s="130" t="s">
        <v>279</v>
      </c>
      <c r="Z74" s="130" t="s">
        <v>280</v>
      </c>
      <c r="AA74" s="130" t="s">
        <v>281</v>
      </c>
      <c r="AB74" s="130" t="s">
        <v>282</v>
      </c>
      <c r="AC74" s="134" t="str">
        <f>HYPERLINK("Screenshots/QR Payment KHQR Bakong Wallet/TCRT-0070","View Screenshots")</f>
        <v>View Screenshots</v>
      </c>
      <c r="AD74" s="130" t="s">
        <v>445</v>
      </c>
      <c r="AE74" s="136"/>
      <c r="AF74" s="129"/>
    </row>
    <row r="75" ht="59" customHeight="1" spans="1:32">
      <c r="A75" s="119">
        <v>71</v>
      </c>
      <c r="B75" s="120" t="s">
        <v>254</v>
      </c>
      <c r="C75" s="137"/>
      <c r="D75" s="167"/>
      <c r="E75" s="153" t="s">
        <v>251</v>
      </c>
      <c r="F75" s="154" t="s">
        <v>25</v>
      </c>
      <c r="G75" s="172" t="s">
        <v>255</v>
      </c>
      <c r="H75" s="126" t="s">
        <v>30</v>
      </c>
      <c r="I75" s="184" t="str">
        <f>IF(H75="PSP",IF(K75="KHR",'Config Data'!$D$13,'Config Data'!$D$14),IF(H75="FC",IF(K75="KHR",'Config Data'!$D$15,'Config Data'!$D$16)))</f>
        <v>103634567</v>
      </c>
      <c r="J75" s="126" t="s">
        <v>31</v>
      </c>
      <c r="K75" s="126" t="s">
        <v>28</v>
      </c>
      <c r="L75" s="130" t="s">
        <v>303</v>
      </c>
      <c r="M75" s="129" t="s">
        <v>29</v>
      </c>
      <c r="N75" s="129" t="s">
        <v>29</v>
      </c>
      <c r="O75" s="128">
        <f>IF(AND(K75="USD",S75="KHR"),120000,IF(AND(K75="KHR",S75="USD"),30,IF(AND(K75="USD",S75="USD"),1,IF(AND(K75="KHR",S75="KHR"),4000,IF(S75="KHR",'Config Data'!$D$21,IF(S75="USD",'Config Data'!$D$23,""))))))</f>
        <v>4000</v>
      </c>
      <c r="P75" s="126" t="s">
        <v>154</v>
      </c>
      <c r="Q75" s="132" t="s">
        <v>442</v>
      </c>
      <c r="R75" s="126" t="s">
        <v>253</v>
      </c>
      <c r="S75" s="126" t="s">
        <v>28</v>
      </c>
      <c r="T75" s="130" t="s">
        <v>282</v>
      </c>
      <c r="U75" s="133" t="s">
        <v>60</v>
      </c>
      <c r="V75" s="130" t="s">
        <v>446</v>
      </c>
      <c r="W75" s="130" t="s">
        <v>447</v>
      </c>
      <c r="X75" s="169" t="s">
        <v>278</v>
      </c>
      <c r="Y75" s="130" t="s">
        <v>279</v>
      </c>
      <c r="Z75" s="130" t="s">
        <v>280</v>
      </c>
      <c r="AA75" s="130" t="s">
        <v>281</v>
      </c>
      <c r="AB75" s="130" t="s">
        <v>282</v>
      </c>
      <c r="AC75" s="134" t="str">
        <f>HYPERLINK("Screenshots/QR Payment KHQR Bakong Wallet/TCRT-0071","View Screenshots")</f>
        <v>View Screenshots</v>
      </c>
      <c r="AD75" s="130" t="s">
        <v>448</v>
      </c>
      <c r="AE75" s="136"/>
      <c r="AF75" s="129"/>
    </row>
    <row r="76" ht="59" customHeight="1" spans="1:32">
      <c r="A76" s="119">
        <v>72</v>
      </c>
      <c r="B76" s="120" t="s">
        <v>256</v>
      </c>
      <c r="C76" s="137"/>
      <c r="D76" s="167"/>
      <c r="E76" s="153" t="s">
        <v>251</v>
      </c>
      <c r="F76" s="154" t="s">
        <v>25</v>
      </c>
      <c r="G76" s="172" t="s">
        <v>257</v>
      </c>
      <c r="H76" s="133" t="s">
        <v>26</v>
      </c>
      <c r="I76" s="184" t="str">
        <f>IF(H76="PSP",IF(K76="KHR",'Config Data'!$D$13,'Config Data'!$D$14),IF(H76="FC",IF(K76="KHR",'Config Data'!$D$15,'Config Data'!$D$16)))</f>
        <v>07782087</v>
      </c>
      <c r="J76" s="131" t="s">
        <v>27</v>
      </c>
      <c r="K76" s="133" t="s">
        <v>32</v>
      </c>
      <c r="L76" s="130" t="s">
        <v>351</v>
      </c>
      <c r="M76" s="129" t="s">
        <v>29</v>
      </c>
      <c r="N76" s="129" t="s">
        <v>29</v>
      </c>
      <c r="O76" s="128">
        <f>IF(AND(K76="USD",S76="KHR"),120000,IF(AND(K76="KHR",S76="USD"),30,IF(AND(K76="USD",S76="USD"),1,IF(AND(K76="KHR",S76="KHR"),4000,IF(S76="KHR",'Config Data'!$D$21,IF(S76="USD",'Config Data'!$D$23,""))))))</f>
        <v>120000</v>
      </c>
      <c r="P76" s="126" t="s">
        <v>154</v>
      </c>
      <c r="Q76" s="132" t="s">
        <v>442</v>
      </c>
      <c r="R76" s="126" t="s">
        <v>253</v>
      </c>
      <c r="S76" s="126" t="s">
        <v>28</v>
      </c>
      <c r="T76" s="130" t="s">
        <v>282</v>
      </c>
      <c r="U76" s="173" t="s">
        <v>261</v>
      </c>
      <c r="V76" s="130" t="s">
        <v>449</v>
      </c>
      <c r="W76" s="130" t="s">
        <v>450</v>
      </c>
      <c r="X76" s="169" t="s">
        <v>278</v>
      </c>
      <c r="Y76" s="130" t="s">
        <v>279</v>
      </c>
      <c r="Z76" s="130" t="s">
        <v>280</v>
      </c>
      <c r="AA76" s="130" t="s">
        <v>281</v>
      </c>
      <c r="AB76" s="130" t="s">
        <v>282</v>
      </c>
      <c r="AC76" s="134" t="str">
        <f>HYPERLINK("Screenshots/QR Payment KHQR Bakong Wallet/TCRT-0072","View Screenshots")</f>
        <v>View Screenshots</v>
      </c>
      <c r="AD76" s="130" t="s">
        <v>451</v>
      </c>
      <c r="AE76" s="136"/>
      <c r="AF76" s="129"/>
    </row>
    <row r="77" ht="59" customHeight="1" spans="1:32">
      <c r="A77" s="119">
        <v>73</v>
      </c>
      <c r="B77" s="120" t="s">
        <v>258</v>
      </c>
      <c r="C77" s="162"/>
      <c r="D77" s="168"/>
      <c r="E77" s="153" t="s">
        <v>251</v>
      </c>
      <c r="F77" s="154" t="s">
        <v>25</v>
      </c>
      <c r="G77" s="172" t="s">
        <v>259</v>
      </c>
      <c r="H77" s="126" t="s">
        <v>26</v>
      </c>
      <c r="I77" s="184" t="str">
        <f>IF(H77="PSP",IF(K77="KHR",'Config Data'!$D$13,'Config Data'!$D$14),IF(H77="FC",IF(K77="KHR",'Config Data'!$D$15,'Config Data'!$D$16)))</f>
        <v>07782083</v>
      </c>
      <c r="J77" s="126" t="s">
        <v>27</v>
      </c>
      <c r="K77" s="126" t="s">
        <v>28</v>
      </c>
      <c r="L77" s="130" t="s">
        <v>303</v>
      </c>
      <c r="M77" s="129" t="s">
        <v>29</v>
      </c>
      <c r="N77" s="129" t="s">
        <v>29</v>
      </c>
      <c r="O77" s="128">
        <f>IF(AND(K77="USD",S77="KHR"),120000,IF(AND(K77="KHR",S77="USD"),30,IF(AND(K77="USD",S77="USD"),1,IF(AND(K77="KHR",S77="KHR"),4000,IF(S77="KHR",'Config Data'!$D$21,IF(S77="USD",'Config Data'!$D$23,""))))))</f>
        <v>4000</v>
      </c>
      <c r="P77" s="126" t="s">
        <v>154</v>
      </c>
      <c r="Q77" s="132" t="s">
        <v>442</v>
      </c>
      <c r="R77" s="126" t="s">
        <v>253</v>
      </c>
      <c r="S77" s="126" t="s">
        <v>28</v>
      </c>
      <c r="T77" s="130" t="s">
        <v>282</v>
      </c>
      <c r="U77" s="133" t="s">
        <v>60</v>
      </c>
      <c r="V77" s="130" t="s">
        <v>452</v>
      </c>
      <c r="W77" s="130" t="s">
        <v>453</v>
      </c>
      <c r="X77" s="169" t="s">
        <v>409</v>
      </c>
      <c r="Y77" s="130" t="s">
        <v>279</v>
      </c>
      <c r="Z77" s="130" t="s">
        <v>280</v>
      </c>
      <c r="AA77" s="130" t="s">
        <v>281</v>
      </c>
      <c r="AB77" s="130" t="s">
        <v>282</v>
      </c>
      <c r="AC77" s="134" t="str">
        <f>HYPERLINK("Screenshots/QR Payment KHQR Bakong Wallet/TCRT-0073","View Screenshots")</f>
        <v>View Screenshots</v>
      </c>
      <c r="AD77" s="130" t="s">
        <v>454</v>
      </c>
      <c r="AE77" s="136"/>
      <c r="AF77" s="129"/>
    </row>
  </sheetData>
  <autoFilter xmlns:etc="http://www.wps.cn/officeDocument/2017/etCustomData" ref="A4:AF77" etc:filterBottomFollowUsedRange="0">
    <extLst/>
  </autoFilter>
  <mergeCells count="23">
    <mergeCell ref="C5:C77"/>
    <mergeCell ref="D5:D16"/>
    <mergeCell ref="D17:D20"/>
    <mergeCell ref="D21:D24"/>
    <mergeCell ref="D25:D27"/>
    <mergeCell ref="D28:D29"/>
    <mergeCell ref="D30:D31"/>
    <mergeCell ref="D32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9"/>
    <mergeCell ref="D60:D61"/>
    <mergeCell ref="D62:D65"/>
    <mergeCell ref="D66:D69"/>
    <mergeCell ref="D70:D73"/>
    <mergeCell ref="D74:D77"/>
  </mergeCells>
  <conditionalFormatting sqref="Z5:AA77">
    <cfRule type="cellIs" dxfId="3" priority="4" operator="equal">
      <formula>"Failed"</formula>
    </cfRule>
    <cfRule type="cellIs" dxfId="2" priority="3" operator="equal">
      <formula>"Passed"</formula>
    </cfRule>
    <cfRule type="cellIs" dxfId="1" priority="2" operator="equal">
      <formula>"Skipped"</formula>
    </cfRule>
    <cfRule type="cellIs" dxfId="0" priority="1" operator="equal">
      <formula>"Not Executed"</formula>
    </cfRule>
  </conditionalFormatting>
  <dataValidations count="3">
    <dataValidation allowBlank="1" showInputMessage="1" showErrorMessage="1" sqref="AA4"/>
    <dataValidation type="list" allowBlank="1" showInputMessage="1" showErrorMessage="1" sqref="Z54 Z5:Z53 Z55:Z77">
      <formula1>"Passed, Failed, Not Executed, N/A, NCFL,Skipped"</formula1>
    </dataValidation>
    <dataValidation type="list" allowBlank="1" showInputMessage="1" showErrorMessage="1" sqref="Z78:Z1048576">
      <formula1>"Passed, Failed, Not Executed, Pending, N/A, NCFL,Skipped"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28"/>
  <sheetViews>
    <sheetView zoomScale="145" zoomScaleNormal="145" topLeftCell="A16" workbookViewId="0">
      <selection activeCell="D29" sqref="D29"/>
    </sheetView>
  </sheetViews>
  <sheetFormatPr defaultColWidth="8.875" defaultRowHeight="16.8"/>
  <cols>
    <col min="1" max="1" width="4.125" customWidth="1"/>
    <col min="2" max="2" width="5.875" customWidth="1"/>
    <col min="3" max="3" width="25" customWidth="1"/>
    <col min="4" max="4" width="32.125" style="1" customWidth="1"/>
    <col min="5" max="5" width="29.125" style="2" customWidth="1"/>
    <col min="6" max="6" width="38" customWidth="1"/>
    <col min="9" max="9" width="14.125" customWidth="1"/>
    <col min="10" max="10" width="15" customWidth="1"/>
  </cols>
  <sheetData>
    <row r="2" ht="29.1" customHeight="1" spans="2:9">
      <c r="B2" s="3" t="s">
        <v>455</v>
      </c>
    </row>
    <row r="3" ht="18.95" customHeight="1" spans="2:9">
      <c r="B3" s="1" t="s">
        <v>456</v>
      </c>
    </row>
    <row r="4" ht="18.95" customHeight="1" spans="2:9">
      <c r="B4" s="1"/>
    </row>
    <row r="5" spans="2:9">
      <c r="B5" s="4" t="s">
        <v>457</v>
      </c>
    </row>
    <row r="6" spans="2:9">
      <c r="B6" s="5" t="s">
        <v>264</v>
      </c>
      <c r="C6" s="5" t="s">
        <v>264</v>
      </c>
      <c r="D6" s="6" t="s">
        <v>458</v>
      </c>
      <c r="E6" s="7" t="s">
        <v>459</v>
      </c>
    </row>
    <row r="7" spans="2:9">
      <c r="B7" s="8" t="s">
        <v>460</v>
      </c>
      <c r="C7" s="8" t="s">
        <v>460</v>
      </c>
      <c r="D7" s="9" t="s">
        <v>461</v>
      </c>
      <c r="E7" s="10" t="s">
        <v>459</v>
      </c>
    </row>
    <row r="8" spans="2:9">
      <c r="B8" s="8" t="s">
        <v>462</v>
      </c>
      <c r="C8" s="8" t="s">
        <v>462</v>
      </c>
      <c r="D8" s="9" t="s">
        <v>461</v>
      </c>
      <c r="E8" s="10" t="s">
        <v>459</v>
      </c>
    </row>
    <row r="9" ht="20.1" customHeight="1" spans="2:9">
      <c r="B9" s="1"/>
    </row>
    <row r="10" ht="27.95" customHeight="1" spans="2:9">
      <c r="B10" s="6" t="s">
        <v>463</v>
      </c>
      <c r="C10" s="11"/>
      <c r="D10" s="12"/>
      <c r="E10" s="13"/>
      <c r="F10" s="11"/>
    </row>
    <row r="11" spans="2:9">
      <c r="B11" s="14" t="s">
        <v>464</v>
      </c>
      <c r="E11" s="15"/>
      <c r="F11" s="16"/>
    </row>
    <row r="12" spans="2:9">
      <c r="B12" s="17" t="s">
        <v>465</v>
      </c>
      <c r="C12" s="18" t="s">
        <v>466</v>
      </c>
      <c r="D12" s="18" t="s">
        <v>467</v>
      </c>
      <c r="E12" s="19" t="s">
        <v>468</v>
      </c>
      <c r="F12" s="17" t="s">
        <v>270</v>
      </c>
      <c r="I12" s="20"/>
    </row>
    <row r="13" ht="15" customHeight="1" spans="2:9">
      <c r="B13" s="21">
        <v>1</v>
      </c>
      <c r="C13" s="22" t="s">
        <v>26</v>
      </c>
      <c r="D13" s="188" t="s">
        <v>469</v>
      </c>
      <c r="E13" s="24" t="s">
        <v>28</v>
      </c>
      <c r="F13" s="25"/>
      <c r="I13" s="20"/>
    </row>
    <row r="14" spans="2:9">
      <c r="B14" s="8">
        <v>2</v>
      </c>
      <c r="C14" s="22" t="s">
        <v>26</v>
      </c>
      <c r="D14" s="189" t="s">
        <v>470</v>
      </c>
      <c r="E14" s="27" t="s">
        <v>32</v>
      </c>
      <c r="F14" s="28"/>
      <c r="I14" s="20"/>
    </row>
    <row r="15" spans="2:9">
      <c r="B15" s="8">
        <v>3</v>
      </c>
      <c r="C15" s="29" t="s">
        <v>30</v>
      </c>
      <c r="D15" s="189" t="s">
        <v>471</v>
      </c>
      <c r="E15" s="27" t="s">
        <v>32</v>
      </c>
      <c r="F15" s="28"/>
      <c r="I15" s="20"/>
    </row>
    <row r="16" spans="2:9">
      <c r="B16" s="8">
        <v>4</v>
      </c>
      <c r="C16" s="29" t="s">
        <v>30</v>
      </c>
      <c r="D16" s="190" t="s">
        <v>472</v>
      </c>
      <c r="E16" s="27" t="s">
        <v>32</v>
      </c>
      <c r="F16" s="28"/>
    </row>
    <row r="17" spans="2:11">
      <c r="B17" s="8">
        <v>5</v>
      </c>
      <c r="C17" s="29" t="s">
        <v>473</v>
      </c>
      <c r="D17" s="191" t="s">
        <v>474</v>
      </c>
      <c r="E17" s="32" t="s">
        <v>60</v>
      </c>
      <c r="F17" s="28"/>
    </row>
    <row r="18" spans="2:11">
      <c r="B18" s="14" t="s">
        <v>475</v>
      </c>
      <c r="F18" s="33"/>
    </row>
    <row r="19" spans="2:11">
      <c r="B19" s="17" t="s">
        <v>465</v>
      </c>
      <c r="C19" s="34" t="s">
        <v>476</v>
      </c>
      <c r="D19" s="35" t="s">
        <v>11</v>
      </c>
      <c r="E19" s="19" t="s">
        <v>468</v>
      </c>
      <c r="F19" s="17" t="s">
        <v>270</v>
      </c>
    </row>
    <row r="20" spans="2:11">
      <c r="B20" s="8">
        <v>1</v>
      </c>
      <c r="C20" s="36" t="s">
        <v>477</v>
      </c>
      <c r="D20" s="37">
        <v>4000</v>
      </c>
      <c r="E20" s="38" t="s">
        <v>28</v>
      </c>
      <c r="F20" s="28"/>
    </row>
    <row r="21" spans="2:11">
      <c r="B21" s="8">
        <v>2</v>
      </c>
      <c r="C21" s="36" t="s">
        <v>478</v>
      </c>
      <c r="D21" s="37">
        <v>120000</v>
      </c>
      <c r="E21" s="38" t="s">
        <v>28</v>
      </c>
      <c r="F21" s="28"/>
    </row>
    <row r="22" spans="2:11">
      <c r="B22" s="8">
        <v>3</v>
      </c>
      <c r="C22" s="36" t="s">
        <v>479</v>
      </c>
      <c r="D22" s="39">
        <v>1</v>
      </c>
      <c r="E22" s="38" t="s">
        <v>32</v>
      </c>
      <c r="F22" s="28"/>
    </row>
    <row r="23" spans="2:11">
      <c r="B23" s="8">
        <v>4</v>
      </c>
      <c r="C23" s="36" t="s">
        <v>480</v>
      </c>
      <c r="D23" s="39">
        <v>30</v>
      </c>
      <c r="E23" s="38" t="s">
        <v>32</v>
      </c>
      <c r="F23" s="28"/>
    </row>
    <row r="24" spans="2:11">
      <c r="B24" s="8">
        <v>5</v>
      </c>
      <c r="C24" s="36" t="s">
        <v>481</v>
      </c>
      <c r="D24" s="39">
        <v>0.25</v>
      </c>
      <c r="E24" s="38" t="s">
        <v>32</v>
      </c>
      <c r="F24" s="28"/>
    </row>
    <row r="25" spans="2:11">
      <c r="B25" s="8">
        <v>6</v>
      </c>
      <c r="C25" s="36" t="s">
        <v>482</v>
      </c>
      <c r="D25" s="37">
        <v>1000</v>
      </c>
      <c r="E25" s="38" t="s">
        <v>28</v>
      </c>
      <c r="F25" s="28"/>
    </row>
    <row r="26" spans="2:11">
      <c r="B26" s="8">
        <v>7</v>
      </c>
      <c r="C26" s="36" t="s">
        <v>483</v>
      </c>
      <c r="D26" s="39">
        <v>5</v>
      </c>
      <c r="E26" s="38" t="s">
        <v>32</v>
      </c>
      <c r="F26" s="28"/>
    </row>
    <row r="27" spans="2:11">
      <c r="B27" s="8">
        <v>8</v>
      </c>
      <c r="C27" s="36" t="s">
        <v>484</v>
      </c>
      <c r="D27" s="37">
        <v>20000</v>
      </c>
      <c r="E27" s="38" t="s">
        <v>28</v>
      </c>
      <c r="F27" s="28"/>
    </row>
    <row r="28" spans="2:11">
      <c r="B28" s="14" t="s">
        <v>485</v>
      </c>
      <c r="F28" s="40"/>
    </row>
    <row r="29" spans="2:11">
      <c r="B29" s="41" t="b">
        <v>1</v>
      </c>
      <c r="C29" s="4" t="s">
        <v>486</v>
      </c>
      <c r="F29" s="40"/>
    </row>
    <row r="30" spans="2:11">
      <c r="B30" s="41"/>
      <c r="C30" s="4"/>
      <c r="F30" s="40"/>
    </row>
    <row r="31" spans="2:11">
      <c r="B31" s="17" t="s">
        <v>465</v>
      </c>
      <c r="C31" s="34" t="s">
        <v>487</v>
      </c>
      <c r="D31" s="35" t="s">
        <v>488</v>
      </c>
      <c r="E31" s="19" t="s">
        <v>467</v>
      </c>
      <c r="F31" s="42" t="s">
        <v>270</v>
      </c>
    </row>
    <row r="32" ht="135" customHeight="1" spans="2:11">
      <c r="B32" s="8">
        <v>1</v>
      </c>
      <c r="C32" s="36" t="s">
        <v>489</v>
      </c>
      <c r="D32" s="43" t="s">
        <v>490</v>
      </c>
      <c r="E32" s="192" t="s">
        <v>491</v>
      </c>
      <c r="F32" s="28" t="s">
        <v>492</v>
      </c>
      <c r="I32" s="45"/>
      <c r="J32" s="46"/>
      <c r="K32" s="45"/>
    </row>
    <row r="33" ht="135" customHeight="1" spans="2:11">
      <c r="B33" s="8">
        <v>2</v>
      </c>
      <c r="C33" s="36" t="s">
        <v>493</v>
      </c>
      <c r="D33" s="43" t="s">
        <v>490</v>
      </c>
      <c r="E33" s="192" t="s">
        <v>494</v>
      </c>
      <c r="F33" s="28" t="s">
        <v>492</v>
      </c>
      <c r="I33" s="45"/>
      <c r="J33" s="46"/>
      <c r="K33" s="45"/>
    </row>
    <row r="34" ht="118" customHeight="1" spans="2:11">
      <c r="B34" s="8">
        <v>3</v>
      </c>
      <c r="C34" s="36" t="s">
        <v>495</v>
      </c>
      <c r="D34" s="47" t="s">
        <v>496</v>
      </c>
      <c r="E34" s="192" t="s">
        <v>497</v>
      </c>
      <c r="F34" s="28" t="s">
        <v>498</v>
      </c>
      <c r="I34" s="45"/>
      <c r="J34" s="48"/>
      <c r="K34" s="45"/>
    </row>
    <row r="35" ht="118" customHeight="1" spans="2:11">
      <c r="B35" s="8">
        <v>4</v>
      </c>
      <c r="C35" s="36" t="s">
        <v>499</v>
      </c>
      <c r="D35" s="43" t="s">
        <v>500</v>
      </c>
      <c r="E35" s="192" t="s">
        <v>501</v>
      </c>
      <c r="F35" s="28" t="s">
        <v>498</v>
      </c>
      <c r="I35" s="45"/>
      <c r="J35" s="48"/>
      <c r="K35" s="45"/>
    </row>
    <row r="36" ht="17" customHeight="1" spans="2:11">
      <c r="B36" s="8">
        <v>5</v>
      </c>
      <c r="C36" s="36" t="s">
        <v>502</v>
      </c>
      <c r="D36" s="193" t="s">
        <v>503</v>
      </c>
      <c r="E36" s="192" t="s">
        <v>391</v>
      </c>
      <c r="F36" s="28" t="s">
        <v>504</v>
      </c>
      <c r="I36" s="45"/>
      <c r="J36" s="49"/>
      <c r="K36" s="45"/>
    </row>
    <row r="37" ht="17" customHeight="1" spans="2:11">
      <c r="B37" s="8">
        <v>6</v>
      </c>
      <c r="C37" s="36" t="s">
        <v>505</v>
      </c>
      <c r="D37" s="193" t="s">
        <v>503</v>
      </c>
      <c r="E37" s="192" t="s">
        <v>387</v>
      </c>
      <c r="F37" s="28" t="s">
        <v>504</v>
      </c>
      <c r="I37" s="45"/>
      <c r="J37" s="48"/>
      <c r="K37" s="45"/>
    </row>
    <row r="38" ht="135" customHeight="1" spans="2:11">
      <c r="B38" s="8">
        <v>7</v>
      </c>
      <c r="C38" s="36" t="s">
        <v>506</v>
      </c>
      <c r="D38" s="194" t="s">
        <v>507</v>
      </c>
      <c r="E38" s="195" t="s">
        <v>508</v>
      </c>
      <c r="F38" s="28" t="s">
        <v>509</v>
      </c>
      <c r="I38" s="45"/>
      <c r="J38" s="52"/>
      <c r="K38" s="45"/>
    </row>
    <row r="39" ht="135" customHeight="1" spans="2:11">
      <c r="B39" s="8">
        <v>8</v>
      </c>
      <c r="C39" s="36" t="s">
        <v>510</v>
      </c>
      <c r="D39" s="194" t="s">
        <v>511</v>
      </c>
      <c r="E39" s="44">
        <v>600901105</v>
      </c>
      <c r="F39" s="28" t="s">
        <v>509</v>
      </c>
      <c r="I39" s="45"/>
      <c r="J39" s="52"/>
      <c r="K39" s="45"/>
    </row>
    <row r="40" ht="135" customHeight="1" spans="2:11">
      <c r="B40" s="8">
        <v>9</v>
      </c>
      <c r="C40" s="36" t="s">
        <v>512</v>
      </c>
      <c r="D40" s="194" t="s">
        <v>513</v>
      </c>
      <c r="E40" s="195" t="s">
        <v>508</v>
      </c>
      <c r="F40" s="28" t="s">
        <v>509</v>
      </c>
    </row>
    <row r="41" ht="135" customHeight="1" spans="2:11">
      <c r="B41" s="8">
        <v>10</v>
      </c>
      <c r="C41" s="36" t="s">
        <v>514</v>
      </c>
      <c r="D41" s="194" t="s">
        <v>515</v>
      </c>
      <c r="E41" s="51">
        <v>600901105</v>
      </c>
      <c r="F41" s="28" t="s">
        <v>509</v>
      </c>
    </row>
    <row r="42" spans="2:11">
      <c r="B42" s="14" t="s">
        <v>516</v>
      </c>
      <c r="F42" s="33"/>
    </row>
    <row r="43" spans="2:11">
      <c r="B43" s="17" t="s">
        <v>465</v>
      </c>
      <c r="C43" s="53" t="s">
        <v>81</v>
      </c>
      <c r="D43" s="53" t="s">
        <v>81</v>
      </c>
      <c r="E43" s="19" t="s">
        <v>92</v>
      </c>
      <c r="F43" s="42" t="s">
        <v>270</v>
      </c>
    </row>
    <row r="44" spans="2:11">
      <c r="B44" s="8">
        <v>1</v>
      </c>
      <c r="C44" s="29" t="s">
        <v>81</v>
      </c>
      <c r="D44" s="189" t="s">
        <v>517</v>
      </c>
      <c r="E44" s="196" t="s">
        <v>83</v>
      </c>
      <c r="F44" s="28"/>
    </row>
    <row r="45" spans="2:11">
      <c r="B45" s="8">
        <v>2</v>
      </c>
      <c r="C45" s="29" t="s">
        <v>81</v>
      </c>
      <c r="D45" s="189" t="s">
        <v>518</v>
      </c>
      <c r="E45" s="196" t="s">
        <v>88</v>
      </c>
      <c r="F45" s="28"/>
    </row>
    <row r="46" spans="2:11">
      <c r="B46" s="14" t="s">
        <v>519</v>
      </c>
      <c r="F46" s="33"/>
    </row>
    <row r="47" spans="2:11">
      <c r="B47" s="17" t="s">
        <v>465</v>
      </c>
      <c r="C47" s="54" t="s">
        <v>520</v>
      </c>
      <c r="D47" s="54" t="s">
        <v>520</v>
      </c>
      <c r="E47" s="19"/>
      <c r="F47" s="42" t="s">
        <v>270</v>
      </c>
    </row>
    <row r="48" spans="2:11">
      <c r="B48" s="8">
        <v>1</v>
      </c>
      <c r="C48" s="36" t="s">
        <v>521</v>
      </c>
      <c r="D48" s="197" t="s">
        <v>508</v>
      </c>
      <c r="E48" s="27"/>
      <c r="F48" s="28"/>
    </row>
    <row r="49" spans="2:6">
      <c r="B49" s="8">
        <v>2</v>
      </c>
      <c r="C49" s="36" t="s">
        <v>522</v>
      </c>
      <c r="D49" s="197" t="s">
        <v>523</v>
      </c>
      <c r="E49" s="27"/>
      <c r="F49" s="28"/>
    </row>
    <row r="50" spans="2:6">
      <c r="B50" s="8">
        <v>3</v>
      </c>
      <c r="C50" s="36" t="s">
        <v>524</v>
      </c>
      <c r="D50" s="197" t="s">
        <v>525</v>
      </c>
      <c r="E50" s="27"/>
      <c r="F50" s="28"/>
    </row>
    <row r="51" spans="2:6">
      <c r="B51" s="8">
        <v>4</v>
      </c>
      <c r="C51" s="36" t="s">
        <v>526</v>
      </c>
      <c r="D51" s="55">
        <v>94132110</v>
      </c>
      <c r="E51" s="27"/>
      <c r="F51" s="28"/>
    </row>
    <row r="52" spans="2:6">
      <c r="B52" s="8">
        <v>5</v>
      </c>
      <c r="C52" s="36" t="s">
        <v>527</v>
      </c>
      <c r="D52" s="197" t="s">
        <v>525</v>
      </c>
      <c r="E52" s="27"/>
      <c r="F52" s="28"/>
    </row>
    <row r="53" spans="2:6">
      <c r="B53" s="56"/>
      <c r="C53" s="4"/>
    </row>
    <row r="55" ht="27.95" customHeight="1" spans="2:6">
      <c r="B55" s="57" t="s">
        <v>528</v>
      </c>
      <c r="C55" s="58"/>
      <c r="D55" s="59"/>
      <c r="E55" s="60"/>
      <c r="F55" s="61"/>
    </row>
    <row r="56" spans="2:6">
      <c r="B56" s="62" t="s">
        <v>529</v>
      </c>
      <c r="F56" s="40"/>
    </row>
    <row r="57" spans="2:6">
      <c r="B57" s="63" t="s">
        <v>465</v>
      </c>
      <c r="C57" s="64" t="s">
        <v>530</v>
      </c>
      <c r="D57" s="64" t="s">
        <v>467</v>
      </c>
      <c r="E57" s="65" t="s">
        <v>468</v>
      </c>
      <c r="F57" s="63" t="s">
        <v>270</v>
      </c>
    </row>
    <row r="58" spans="2:6">
      <c r="B58" s="66">
        <v>1</v>
      </c>
      <c r="C58" s="28" t="s">
        <v>531</v>
      </c>
      <c r="D58" s="67" t="s">
        <v>532</v>
      </c>
      <c r="E58" s="27" t="s">
        <v>28</v>
      </c>
      <c r="F58" s="28" t="s">
        <v>533</v>
      </c>
    </row>
    <row r="59" spans="2:6">
      <c r="B59" s="66">
        <v>2</v>
      </c>
      <c r="C59" s="28" t="s">
        <v>531</v>
      </c>
      <c r="D59" s="68" t="s">
        <v>534</v>
      </c>
      <c r="E59" s="27" t="s">
        <v>32</v>
      </c>
      <c r="F59" s="28" t="s">
        <v>533</v>
      </c>
    </row>
    <row r="60" spans="2:6">
      <c r="B60" s="62" t="s">
        <v>535</v>
      </c>
      <c r="F60" s="40"/>
    </row>
    <row r="61" spans="2:6">
      <c r="B61" s="63" t="s">
        <v>465</v>
      </c>
      <c r="C61" s="64" t="s">
        <v>536</v>
      </c>
      <c r="D61" s="64" t="s">
        <v>467</v>
      </c>
      <c r="E61" s="65" t="s">
        <v>468</v>
      </c>
      <c r="F61" s="63" t="s">
        <v>270</v>
      </c>
    </row>
    <row r="62" spans="2:6">
      <c r="B62" s="66">
        <v>1</v>
      </c>
      <c r="C62" s="28" t="s">
        <v>537</v>
      </c>
      <c r="D62" s="68" t="s">
        <v>538</v>
      </c>
      <c r="E62" s="27" t="s">
        <v>28</v>
      </c>
      <c r="F62" s="28" t="s">
        <v>536</v>
      </c>
    </row>
    <row r="63" spans="2:6">
      <c r="B63" s="66">
        <v>2</v>
      </c>
      <c r="C63" s="28" t="s">
        <v>539</v>
      </c>
      <c r="D63" s="68" t="s">
        <v>540</v>
      </c>
      <c r="E63" s="27" t="s">
        <v>32</v>
      </c>
      <c r="F63" s="28" t="s">
        <v>536</v>
      </c>
    </row>
    <row r="64" spans="2:6">
      <c r="B64" s="62" t="s">
        <v>541</v>
      </c>
      <c r="F64" s="40"/>
    </row>
    <row r="65" spans="2:9">
      <c r="B65" s="63" t="s">
        <v>465</v>
      </c>
      <c r="C65" s="64" t="s">
        <v>476</v>
      </c>
      <c r="D65" s="69" t="s">
        <v>11</v>
      </c>
      <c r="E65" s="65" t="s">
        <v>468</v>
      </c>
      <c r="F65" s="63" t="s">
        <v>270</v>
      </c>
    </row>
    <row r="66" spans="2:9">
      <c r="B66" s="66">
        <v>1</v>
      </c>
      <c r="C66" s="28" t="s">
        <v>542</v>
      </c>
      <c r="D66" s="70" t="s">
        <v>542</v>
      </c>
      <c r="E66" s="27" t="s">
        <v>28</v>
      </c>
      <c r="F66" s="28"/>
    </row>
    <row r="67" spans="2:9">
      <c r="B67" s="66">
        <v>2</v>
      </c>
      <c r="C67" s="28" t="s">
        <v>543</v>
      </c>
      <c r="D67" s="70" t="s">
        <v>543</v>
      </c>
      <c r="E67" s="27" t="s">
        <v>32</v>
      </c>
      <c r="F67" s="28"/>
    </row>
    <row r="68" spans="2:9">
      <c r="B68" s="66">
        <v>3</v>
      </c>
      <c r="C68" s="28" t="s">
        <v>544</v>
      </c>
      <c r="D68" s="70" t="s">
        <v>544</v>
      </c>
      <c r="E68" s="27" t="s">
        <v>28</v>
      </c>
      <c r="F68" s="28"/>
    </row>
    <row r="69" spans="2:9">
      <c r="B69" s="66">
        <v>4</v>
      </c>
      <c r="C69" s="28" t="s">
        <v>545</v>
      </c>
      <c r="D69" s="70" t="s">
        <v>545</v>
      </c>
      <c r="E69" s="27" t="s">
        <v>32</v>
      </c>
      <c r="F69" s="28"/>
    </row>
    <row r="72" ht="27" customHeight="1" spans="2:9">
      <c r="B72" s="71" t="s">
        <v>546</v>
      </c>
      <c r="C72" s="72"/>
      <c r="D72" s="73"/>
      <c r="E72" s="74"/>
      <c r="F72" s="75"/>
      <c r="G72" s="22"/>
      <c r="H72" s="37"/>
      <c r="I72" s="38"/>
    </row>
    <row r="73" spans="2:9">
      <c r="B73" s="62" t="s">
        <v>547</v>
      </c>
      <c r="F73" s="40"/>
      <c r="G73" s="22"/>
      <c r="H73" s="37"/>
      <c r="I73" s="38"/>
    </row>
    <row r="74" spans="2:9">
      <c r="B74" s="76" t="s">
        <v>465</v>
      </c>
      <c r="C74" s="77" t="s">
        <v>536</v>
      </c>
      <c r="D74" s="77" t="s">
        <v>467</v>
      </c>
      <c r="E74" s="78" t="s">
        <v>468</v>
      </c>
      <c r="F74" s="76" t="s">
        <v>270</v>
      </c>
      <c r="G74" s="29"/>
      <c r="H74" s="39"/>
      <c r="I74" s="38"/>
    </row>
    <row r="75" spans="2:9">
      <c r="B75" s="66">
        <v>1</v>
      </c>
      <c r="C75" s="28" t="s">
        <v>548</v>
      </c>
      <c r="D75" s="188" t="s">
        <v>469</v>
      </c>
      <c r="E75" s="27" t="s">
        <v>28</v>
      </c>
      <c r="F75" s="28" t="s">
        <v>536</v>
      </c>
      <c r="G75" s="29"/>
      <c r="H75" s="39"/>
      <c r="I75" s="38"/>
    </row>
    <row r="76" spans="2:9">
      <c r="B76" s="66">
        <v>2</v>
      </c>
      <c r="C76" s="28" t="s">
        <v>549</v>
      </c>
      <c r="D76" s="189" t="s">
        <v>470</v>
      </c>
      <c r="E76" s="27" t="s">
        <v>32</v>
      </c>
      <c r="F76" s="28" t="s">
        <v>536</v>
      </c>
      <c r="H76" s="39"/>
      <c r="I76" s="38"/>
    </row>
    <row r="77" spans="2:9">
      <c r="B77" s="66">
        <v>3</v>
      </c>
      <c r="C77" s="28" t="s">
        <v>537</v>
      </c>
      <c r="D77" s="189" t="s">
        <v>471</v>
      </c>
      <c r="E77" s="27" t="s">
        <v>28</v>
      </c>
      <c r="F77" s="28" t="s">
        <v>536</v>
      </c>
      <c r="H77" s="37"/>
      <c r="I77" s="38"/>
    </row>
    <row r="78" spans="2:9">
      <c r="B78" s="66">
        <v>4</v>
      </c>
      <c r="C78" s="28" t="s">
        <v>539</v>
      </c>
      <c r="D78" s="190" t="s">
        <v>472</v>
      </c>
      <c r="E78" s="27" t="s">
        <v>32</v>
      </c>
      <c r="F78" s="28" t="s">
        <v>536</v>
      </c>
      <c r="H78" s="39"/>
      <c r="I78" s="38"/>
    </row>
    <row r="79" spans="2:9">
      <c r="B79" s="62" t="s">
        <v>550</v>
      </c>
      <c r="F79" s="40"/>
      <c r="H79" s="37"/>
      <c r="I79" s="38"/>
    </row>
    <row r="80" spans="2:9">
      <c r="B80" s="76" t="s">
        <v>465</v>
      </c>
      <c r="C80" s="77" t="s">
        <v>551</v>
      </c>
      <c r="D80" s="77" t="s">
        <v>467</v>
      </c>
      <c r="E80" s="78" t="s">
        <v>468</v>
      </c>
      <c r="F80" s="76" t="s">
        <v>552</v>
      </c>
    </row>
    <row r="81" spans="2:7">
      <c r="B81" s="66">
        <v>1</v>
      </c>
      <c r="C81" s="79" t="s">
        <v>553</v>
      </c>
      <c r="D81" s="197" t="s">
        <v>523</v>
      </c>
      <c r="E81" s="27" t="s">
        <v>28</v>
      </c>
      <c r="F81" s="80" t="s">
        <v>139</v>
      </c>
    </row>
    <row r="82" spans="2:7">
      <c r="B82" s="66">
        <v>2</v>
      </c>
      <c r="C82" s="79" t="s">
        <v>554</v>
      </c>
      <c r="D82" s="197" t="s">
        <v>508</v>
      </c>
      <c r="E82" s="27" t="s">
        <v>32</v>
      </c>
      <c r="F82" s="80" t="s">
        <v>139</v>
      </c>
      <c r="G82" s="55"/>
    </row>
    <row r="83" spans="2:7">
      <c r="B83" s="66">
        <v>3</v>
      </c>
      <c r="C83" s="79" t="s">
        <v>212</v>
      </c>
      <c r="D83" s="197" t="s">
        <v>525</v>
      </c>
      <c r="E83" s="27" t="s">
        <v>28</v>
      </c>
      <c r="F83" s="80" t="s">
        <v>212</v>
      </c>
      <c r="G83" s="55"/>
    </row>
    <row r="84" spans="2:7">
      <c r="B84" s="66">
        <v>4</v>
      </c>
      <c r="C84" s="79" t="s">
        <v>219</v>
      </c>
      <c r="D84" s="197" t="s">
        <v>525</v>
      </c>
      <c r="E84" s="27" t="s">
        <v>32</v>
      </c>
      <c r="F84" s="80" t="s">
        <v>219</v>
      </c>
    </row>
    <row r="85" spans="2:7">
      <c r="B85" s="62" t="s">
        <v>555</v>
      </c>
      <c r="F85" s="40"/>
    </row>
    <row r="86" spans="2:7">
      <c r="B86" s="76" t="s">
        <v>465</v>
      </c>
      <c r="C86" s="77" t="s">
        <v>556</v>
      </c>
      <c r="D86" s="77" t="s">
        <v>11</v>
      </c>
      <c r="E86" s="78" t="s">
        <v>468</v>
      </c>
      <c r="F86" s="76" t="s">
        <v>270</v>
      </c>
    </row>
    <row r="87" spans="2:7">
      <c r="B87" s="66">
        <v>1</v>
      </c>
      <c r="C87" s="28" t="s">
        <v>557</v>
      </c>
      <c r="D87" s="37">
        <v>4000</v>
      </c>
      <c r="E87" s="27" t="s">
        <v>28</v>
      </c>
      <c r="F87" s="28" t="s">
        <v>536</v>
      </c>
    </row>
    <row r="88" spans="2:7">
      <c r="B88" s="66">
        <v>2</v>
      </c>
      <c r="C88" s="28" t="s">
        <v>558</v>
      </c>
      <c r="D88" s="39">
        <v>1</v>
      </c>
      <c r="E88" s="27" t="s">
        <v>32</v>
      </c>
      <c r="F88" s="28" t="s">
        <v>536</v>
      </c>
    </row>
    <row r="89" spans="2:7">
      <c r="B89" s="66">
        <v>3</v>
      </c>
      <c r="C89" s="28" t="s">
        <v>559</v>
      </c>
      <c r="D89" s="37">
        <v>120000</v>
      </c>
      <c r="E89" s="27" t="s">
        <v>28</v>
      </c>
      <c r="F89" s="28" t="s">
        <v>536</v>
      </c>
    </row>
    <row r="90" spans="2:7">
      <c r="B90" s="66">
        <v>4</v>
      </c>
      <c r="C90" s="28" t="s">
        <v>560</v>
      </c>
      <c r="D90" s="39">
        <v>30</v>
      </c>
      <c r="E90" s="27" t="s">
        <v>32</v>
      </c>
      <c r="F90" s="28" t="s">
        <v>536</v>
      </c>
    </row>
    <row r="93" ht="30" customHeight="1" spans="2:7">
      <c r="B93" s="81" t="s">
        <v>561</v>
      </c>
      <c r="C93" s="82"/>
      <c r="D93" s="83"/>
      <c r="E93" s="84"/>
      <c r="F93" s="85"/>
    </row>
    <row r="94" spans="2:7">
      <c r="B94" s="62" t="s">
        <v>562</v>
      </c>
      <c r="F94" s="40"/>
    </row>
    <row r="95" spans="2:7">
      <c r="B95" s="86" t="s">
        <v>465</v>
      </c>
      <c r="C95" s="87" t="s">
        <v>536</v>
      </c>
      <c r="D95" s="87" t="s">
        <v>467</v>
      </c>
      <c r="E95" s="88" t="s">
        <v>468</v>
      </c>
      <c r="F95" s="86" t="s">
        <v>270</v>
      </c>
    </row>
    <row r="96" spans="2:7">
      <c r="B96" s="66">
        <v>1</v>
      </c>
      <c r="C96" s="28" t="s">
        <v>563</v>
      </c>
      <c r="D96" s="70" t="s">
        <v>564</v>
      </c>
      <c r="E96" s="27" t="s">
        <v>28</v>
      </c>
      <c r="F96" s="28" t="s">
        <v>536</v>
      </c>
    </row>
    <row r="97" spans="2:6">
      <c r="B97" s="66">
        <v>2</v>
      </c>
      <c r="C97" s="28" t="s">
        <v>565</v>
      </c>
      <c r="D97" s="70" t="s">
        <v>566</v>
      </c>
      <c r="E97" s="27" t="s">
        <v>32</v>
      </c>
      <c r="F97" s="28" t="s">
        <v>536</v>
      </c>
    </row>
    <row r="98" spans="2:6">
      <c r="B98" s="62" t="s">
        <v>535</v>
      </c>
      <c r="F98" s="40"/>
    </row>
    <row r="99" spans="2:6">
      <c r="B99" s="86" t="s">
        <v>465</v>
      </c>
      <c r="C99" s="87" t="s">
        <v>536</v>
      </c>
      <c r="D99" s="87" t="s">
        <v>467</v>
      </c>
      <c r="E99" s="88" t="s">
        <v>468</v>
      </c>
      <c r="F99" s="86" t="s">
        <v>270</v>
      </c>
    </row>
    <row r="100" spans="2:6">
      <c r="B100" s="66">
        <v>1</v>
      </c>
      <c r="C100" s="28" t="s">
        <v>567</v>
      </c>
      <c r="D100" s="70" t="s">
        <v>568</v>
      </c>
      <c r="E100" s="27" t="s">
        <v>28</v>
      </c>
      <c r="F100" s="28" t="s">
        <v>536</v>
      </c>
    </row>
    <row r="101" spans="2:6">
      <c r="B101" s="66">
        <v>2</v>
      </c>
      <c r="C101" s="28" t="s">
        <v>569</v>
      </c>
      <c r="D101" s="70" t="s">
        <v>570</v>
      </c>
      <c r="E101" s="27" t="s">
        <v>32</v>
      </c>
      <c r="F101" s="28" t="s">
        <v>536</v>
      </c>
    </row>
    <row r="102" spans="2:6">
      <c r="B102" s="66">
        <v>1</v>
      </c>
      <c r="C102" s="28" t="s">
        <v>571</v>
      </c>
      <c r="D102" s="70" t="s">
        <v>572</v>
      </c>
      <c r="E102" s="27" t="s">
        <v>28</v>
      </c>
      <c r="F102" s="28" t="s">
        <v>536</v>
      </c>
    </row>
    <row r="103" spans="2:6">
      <c r="B103" s="66">
        <v>2</v>
      </c>
      <c r="C103" s="28" t="s">
        <v>573</v>
      </c>
      <c r="D103" s="70" t="s">
        <v>574</v>
      </c>
      <c r="E103" s="27" t="s">
        <v>32</v>
      </c>
      <c r="F103" s="28" t="s">
        <v>536</v>
      </c>
    </row>
    <row r="104" spans="2:6">
      <c r="B104" s="62" t="s">
        <v>555</v>
      </c>
      <c r="F104" s="40"/>
    </row>
    <row r="105" spans="2:6">
      <c r="B105" s="86" t="s">
        <v>465</v>
      </c>
      <c r="C105" s="89"/>
      <c r="D105" s="89" t="s">
        <v>11</v>
      </c>
      <c r="E105" s="90" t="s">
        <v>468</v>
      </c>
      <c r="F105" s="91" t="s">
        <v>270</v>
      </c>
    </row>
    <row r="106" spans="2:6">
      <c r="B106" s="92">
        <v>1</v>
      </c>
      <c r="C106" s="93" t="s">
        <v>575</v>
      </c>
      <c r="D106" s="94" t="s">
        <v>576</v>
      </c>
      <c r="E106" s="95" t="s">
        <v>28</v>
      </c>
      <c r="F106" s="25" t="s">
        <v>536</v>
      </c>
    </row>
    <row r="107" spans="2:6">
      <c r="B107" s="92">
        <v>2</v>
      </c>
      <c r="C107" s="93" t="s">
        <v>577</v>
      </c>
      <c r="D107" s="70" t="s">
        <v>578</v>
      </c>
      <c r="E107" s="95" t="s">
        <v>32</v>
      </c>
      <c r="F107" s="28" t="s">
        <v>536</v>
      </c>
    </row>
    <row r="108" spans="2:6">
      <c r="B108" s="66">
        <v>3</v>
      </c>
      <c r="C108" t="s">
        <v>557</v>
      </c>
      <c r="D108" s="94" t="s">
        <v>579</v>
      </c>
      <c r="E108" s="24" t="s">
        <v>28</v>
      </c>
      <c r="F108" s="25" t="s">
        <v>536</v>
      </c>
    </row>
    <row r="109" spans="2:6">
      <c r="B109" s="66">
        <v>4</v>
      </c>
      <c r="C109" s="28" t="s">
        <v>558</v>
      </c>
      <c r="D109" s="70" t="s">
        <v>580</v>
      </c>
      <c r="E109" s="27" t="s">
        <v>32</v>
      </c>
      <c r="F109" s="28" t="s">
        <v>536</v>
      </c>
    </row>
    <row r="112" ht="27" customHeight="1" spans="2:6">
      <c r="B112" s="96" t="s">
        <v>581</v>
      </c>
      <c r="C112" s="97"/>
      <c r="D112" s="98"/>
      <c r="E112" s="99"/>
      <c r="F112" s="100"/>
    </row>
    <row r="113" spans="2:6">
      <c r="B113" s="62" t="s">
        <v>562</v>
      </c>
      <c r="F113" s="40"/>
    </row>
    <row r="114" spans="2:6">
      <c r="B114" s="101" t="s">
        <v>465</v>
      </c>
      <c r="C114" s="102" t="s">
        <v>536</v>
      </c>
      <c r="D114" s="102" t="s">
        <v>467</v>
      </c>
      <c r="E114" s="103" t="s">
        <v>468</v>
      </c>
      <c r="F114" s="101" t="s">
        <v>270</v>
      </c>
    </row>
    <row r="115" spans="2:6">
      <c r="B115" s="66">
        <v>1</v>
      </c>
      <c r="C115" s="28" t="s">
        <v>582</v>
      </c>
      <c r="D115" s="70" t="s">
        <v>583</v>
      </c>
      <c r="E115" s="27" t="s">
        <v>28</v>
      </c>
      <c r="F115" s="28" t="s">
        <v>536</v>
      </c>
    </row>
    <row r="116" spans="2:6">
      <c r="B116" s="66">
        <v>2</v>
      </c>
      <c r="C116" s="28" t="s">
        <v>584</v>
      </c>
      <c r="D116" s="70" t="s">
        <v>585</v>
      </c>
      <c r="E116" s="27" t="s">
        <v>32</v>
      </c>
      <c r="F116" s="28" t="s">
        <v>536</v>
      </c>
    </row>
    <row r="117" spans="2:6">
      <c r="B117" s="62" t="s">
        <v>535</v>
      </c>
      <c r="F117" s="40"/>
    </row>
    <row r="118" spans="2:6">
      <c r="B118" s="101" t="s">
        <v>465</v>
      </c>
      <c r="C118" s="102" t="s">
        <v>536</v>
      </c>
      <c r="D118" s="102" t="s">
        <v>467</v>
      </c>
      <c r="E118" s="103" t="s">
        <v>468</v>
      </c>
      <c r="F118" s="101" t="s">
        <v>270</v>
      </c>
    </row>
    <row r="119" spans="2:6">
      <c r="B119" s="66">
        <v>1</v>
      </c>
      <c r="C119" s="28" t="s">
        <v>567</v>
      </c>
      <c r="D119" s="70" t="s">
        <v>568</v>
      </c>
      <c r="E119" s="27" t="s">
        <v>28</v>
      </c>
      <c r="F119" s="28" t="s">
        <v>536</v>
      </c>
    </row>
    <row r="120" spans="2:6">
      <c r="B120" s="66">
        <v>2</v>
      </c>
      <c r="C120" s="28" t="s">
        <v>569</v>
      </c>
      <c r="D120" s="70" t="s">
        <v>570</v>
      </c>
      <c r="E120" s="27" t="s">
        <v>32</v>
      </c>
      <c r="F120" s="28" t="s">
        <v>536</v>
      </c>
    </row>
    <row r="121" spans="2:6">
      <c r="B121" s="66">
        <v>1</v>
      </c>
      <c r="C121" s="28" t="s">
        <v>571</v>
      </c>
      <c r="D121" s="70" t="s">
        <v>572</v>
      </c>
      <c r="E121" s="27" t="s">
        <v>28</v>
      </c>
      <c r="F121" s="28" t="s">
        <v>536</v>
      </c>
    </row>
    <row r="122" spans="2:6">
      <c r="B122" s="66">
        <v>2</v>
      </c>
      <c r="C122" s="28" t="s">
        <v>573</v>
      </c>
      <c r="D122" s="70" t="s">
        <v>574</v>
      </c>
      <c r="E122" s="27" t="s">
        <v>32</v>
      </c>
      <c r="F122" s="28" t="s">
        <v>536</v>
      </c>
    </row>
    <row r="123" spans="2:6">
      <c r="B123" s="62" t="s">
        <v>555</v>
      </c>
      <c r="F123" s="40"/>
    </row>
    <row r="124" spans="2:6">
      <c r="B124" s="101" t="s">
        <v>465</v>
      </c>
      <c r="C124" s="104"/>
      <c r="D124" s="104" t="s">
        <v>11</v>
      </c>
      <c r="E124" s="105" t="s">
        <v>468</v>
      </c>
      <c r="F124" s="106" t="s">
        <v>270</v>
      </c>
    </row>
    <row r="125" spans="2:6">
      <c r="B125" s="92">
        <v>1</v>
      </c>
      <c r="C125" s="93" t="s">
        <v>575</v>
      </c>
      <c r="D125" s="94" t="s">
        <v>576</v>
      </c>
      <c r="E125" s="95" t="s">
        <v>28</v>
      </c>
      <c r="F125" s="25" t="s">
        <v>536</v>
      </c>
    </row>
    <row r="126" spans="2:6">
      <c r="B126" s="92">
        <v>2</v>
      </c>
      <c r="C126" s="93" t="s">
        <v>577</v>
      </c>
      <c r="D126" s="70" t="s">
        <v>578</v>
      </c>
      <c r="E126" s="95" t="s">
        <v>32</v>
      </c>
      <c r="F126" s="28" t="s">
        <v>536</v>
      </c>
    </row>
    <row r="127" spans="2:6">
      <c r="B127" s="66">
        <v>3</v>
      </c>
      <c r="C127" t="s">
        <v>557</v>
      </c>
      <c r="D127" s="94" t="s">
        <v>579</v>
      </c>
      <c r="E127" s="24" t="s">
        <v>28</v>
      </c>
      <c r="F127" s="25" t="s">
        <v>536</v>
      </c>
    </row>
    <row r="128" spans="2:6">
      <c r="B128" s="66">
        <v>4</v>
      </c>
      <c r="C128" s="28" t="s">
        <v>558</v>
      </c>
      <c r="D128" s="70" t="s">
        <v>580</v>
      </c>
      <c r="E128" s="27" t="s">
        <v>32</v>
      </c>
      <c r="F128" s="28" t="s">
        <v>536</v>
      </c>
    </row>
  </sheetData>
  <conditionalFormatting sqref="D20">
    <cfRule type="cellIs" dxfId="4" priority="19" operator="greaterThan">
      <formula>4000</formula>
    </cfRule>
  </conditionalFormatting>
  <conditionalFormatting sqref="D21">
    <cfRule type="cellIs" dxfId="4" priority="18" operator="greaterThan">
      <formula>120000</formula>
    </cfRule>
  </conditionalFormatting>
  <conditionalFormatting sqref="D22">
    <cfRule type="cellIs" dxfId="4" priority="17" operator="greaterThan">
      <formula>1</formula>
    </cfRule>
  </conditionalFormatting>
  <conditionalFormatting sqref="D23">
    <cfRule type="cellIs" dxfId="4" priority="16" operator="greaterThan">
      <formula>30</formula>
    </cfRule>
  </conditionalFormatting>
  <conditionalFormatting sqref="D24">
    <cfRule type="cellIs" dxfId="4" priority="20" operator="greaterThan">
      <formula>0.25</formula>
    </cfRule>
  </conditionalFormatting>
  <conditionalFormatting sqref="D25">
    <cfRule type="cellIs" dxfId="4" priority="21" operator="greaterThan">
      <formula>1000</formula>
    </cfRule>
  </conditionalFormatting>
  <conditionalFormatting sqref="D44">
    <cfRule type="expression" dxfId="4" priority="11" stopIfTrue="1">
      <formula>NOT(OR(LEFT(D44,3)="Sma",LEFT(D44,3)="010",LEFT(D44,3)="015",LEFT(D44,3)="016",LEFT(D44,3)="069",LEFT(D44,3)="070",LEFT(D44,3)="081",LEFT(D44,3)="086",LEFT(D44,3)="087",LEFT(D44,3)="093",LEFT(D44,3)="096",LEFT(D44,3)="098"))</formula>
    </cfRule>
  </conditionalFormatting>
  <conditionalFormatting sqref="D45">
    <cfRule type="expression" dxfId="4" priority="13">
      <formula>NOT(OR(LEFT(D45,3)="011",LEFT(D45,3)="012",LEFT(D45,3)="014",LEFT(D45,3)="017",LEFT(D45,3)="061",LEFT(D45,3)="076",LEFT(D45,3)="077",LEFT(D45,3)="078",LEFT(D45,3)="085",LEFT(D45,3)="089",LEFT(D45,3)="092",LEFT(D45,3)="095",LEFT(D45,3)="099"))</formula>
    </cfRule>
  </conditionalFormatting>
  <conditionalFormatting sqref="H72">
    <cfRule type="cellIs" dxfId="4" priority="8" operator="greaterThan">
      <formula>4000</formula>
    </cfRule>
  </conditionalFormatting>
  <conditionalFormatting sqref="H73">
    <cfRule type="cellIs" dxfId="4" priority="7" operator="greaterThan">
      <formula>120000</formula>
    </cfRule>
  </conditionalFormatting>
  <conditionalFormatting sqref="H74">
    <cfRule type="cellIs" dxfId="4" priority="6" operator="greaterThan">
      <formula>1</formula>
    </cfRule>
  </conditionalFormatting>
  <conditionalFormatting sqref="H75">
    <cfRule type="cellIs" dxfId="4" priority="5" operator="greaterThan">
      <formula>30</formula>
    </cfRule>
  </conditionalFormatting>
  <conditionalFormatting sqref="H76">
    <cfRule type="cellIs" dxfId="4" priority="9" operator="greaterThan">
      <formula>0.25</formula>
    </cfRule>
  </conditionalFormatting>
  <conditionalFormatting sqref="H77">
    <cfRule type="cellIs" dxfId="4" priority="10" operator="greaterThan">
      <formula>1000</formula>
    </cfRule>
  </conditionalFormatting>
  <conditionalFormatting sqref="D87">
    <cfRule type="cellIs" dxfId="4" priority="4" operator="greaterThan">
      <formula>4000</formula>
    </cfRule>
  </conditionalFormatting>
  <conditionalFormatting sqref="D88">
    <cfRule type="cellIs" dxfId="4" priority="3" operator="greaterThan">
      <formula>1</formula>
    </cfRule>
  </conditionalFormatting>
  <conditionalFormatting sqref="D89">
    <cfRule type="cellIs" dxfId="4" priority="1" operator="greaterThan">
      <formula>120000</formula>
    </cfRule>
  </conditionalFormatting>
  <conditionalFormatting sqref="D90">
    <cfRule type="cellIs" dxfId="4" priority="2" operator="greaterThan">
      <formula>30</formula>
    </cfRule>
  </conditionalFormatting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/>
  <rangeList sheetStid="4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Biinding</vt:lpstr>
      <vt:lpstr>Wing Bank App</vt:lpstr>
      <vt:lpstr>Config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Sengly Seang</dc:creator>
  <cp:keywords>ClassificationData:&lt;Wing Bank Classification:Internal&gt;</cp:keywords>
  <cp:lastModifiedBy>mony.rorn</cp:lastModifiedBy>
  <dcterms:created xsi:type="dcterms:W3CDTF">2025-12-11T02:52:00Z</dcterms:created>
  <dcterms:modified xsi:type="dcterms:W3CDTF">2026-08-28T11:30:39Z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0x0101005575070F16FF714F9DD46D673866760E</vt:lpwstr>
  </property>
  <property fmtid="{D5CDD505-2E9C-101B-9397-08002B2CF9AE}" pid="3" name="MediaServiceImageTags">
    <vt:lpwstr/>
  </property>
  <property fmtid="{D5CDD505-2E9C-101B-9397-08002B2CF9AE}" pid="4" name="Wing Bank Classification">
    <vt:lpwstr>Internal</vt:lpwstr>
  </property>
  <property fmtid="{D5CDD505-2E9C-101B-9397-08002B2CF9AE}" pid="5" name="ClassifiedBy">
    <vt:lpwstr>WINGMONEY\mony.rorn</vt:lpwstr>
  </property>
  <property fmtid="{D5CDD505-2E9C-101B-9397-08002B2CF9AE}" pid="6" name="ClassificationHost">
    <vt:lpwstr>B5749-MONY.WINGMONEY.COM</vt:lpwstr>
  </property>
  <property fmtid="{D5CDD505-2E9C-101B-9397-08002B2CF9AE}" pid="7" name="ClassificationDate">
    <vt:lpwstr> 4/25/2026 5:29:45 AM</vt:lpwstr>
  </property>
  <property fmtid="{D5CDD505-2E9C-101B-9397-08002B2CF9AE}" pid="8" name="ClassificationGUID">
    <vt:lpwstr>{a319e496-bd0b-47cd-88c4-8dd1600fa3b3}</vt:lpwstr>
  </property>
  <property fmtid="{D5CDD505-2E9C-101B-9397-08002B2CF9AE}" pid="9" name="Order">
    <vt:r8>1493000</vt:r8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ComplianceAssetId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  <property fmtid="{D5CDD505-2E9C-101B-9397-08002B2CF9AE}" pid="15" name="ICV">
    <vt:lpwstr>86E7DA8D1B8BA21421C14D6A629095C1_42</vt:lpwstr>
  </property>
  <property fmtid="{D5CDD505-2E9C-101B-9397-08002B2CF9AE}" pid="16" name="KSOProductBuildVer">
    <vt:lpwstr>1033-12.1.26015.26015</vt:lpwstr>
  </property>
  <property fmtid="{D5CDD505-2E9C-101B-9397-08002B2CF9AE}" pid="17" name="CalculationRule">
    <vt:i4>0</vt:i4>
  </property>
</Properties>
</file>